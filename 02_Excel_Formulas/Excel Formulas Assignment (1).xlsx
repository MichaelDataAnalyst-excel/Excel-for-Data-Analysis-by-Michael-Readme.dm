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e\OneDrive\Desktop\michael kamal hussein\DATA ANALYSIS\ASSIGNMENT\"/>
    </mc:Choice>
  </mc:AlternateContent>
  <bookViews>
    <workbookView xWindow="0" yWindow="0" windowWidth="14380" windowHeight="4190" firstSheet="2" activeTab="2"/>
  </bookViews>
  <sheets>
    <sheet name="Sheet1" sheetId="1" r:id="rId1"/>
    <sheet name="SUM &amp; AVERAGE" sheetId="2" r:id="rId2"/>
    <sheet name="COUNT, COUNTA &amp; COUNTABLANK" sheetId="3" r:id="rId3"/>
    <sheet name="MIN &amp; MAX" sheetId="4" r:id="rId4"/>
    <sheet name="LEN &amp; TRIM" sheetId="5" r:id="rId5"/>
    <sheet name="IF" sheetId="6" r:id="rId6"/>
    <sheet name="SUMMARY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" i="6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" i="4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</calcChain>
</file>

<file path=xl/sharedStrings.xml><?xml version="1.0" encoding="utf-8"?>
<sst xmlns="http://schemas.openxmlformats.org/spreadsheetml/2006/main" count="1328" uniqueCount="122">
  <si>
    <t>Order Date</t>
  </si>
  <si>
    <t>Order ID</t>
  </si>
  <si>
    <t>Customer Name</t>
  </si>
  <si>
    <t>Region</t>
  </si>
  <si>
    <t>Category</t>
  </si>
  <si>
    <t>Sub-Category</t>
  </si>
  <si>
    <t>Product</t>
  </si>
  <si>
    <t>Quantity</t>
  </si>
  <si>
    <t>Unit Price</t>
  </si>
  <si>
    <t>Sales</t>
  </si>
  <si>
    <t>Target</t>
  </si>
  <si>
    <t>Order Status</t>
  </si>
  <si>
    <t>ORD-001</t>
  </si>
  <si>
    <t>Alice Kim</t>
  </si>
  <si>
    <t>East</t>
  </si>
  <si>
    <t>Furniture</t>
  </si>
  <si>
    <t>Chairs</t>
  </si>
  <si>
    <t>Office Chair</t>
  </si>
  <si>
    <t>Delivered</t>
  </si>
  <si>
    <t>ORD-002</t>
  </si>
  <si>
    <t>Brian Otieno</t>
  </si>
  <si>
    <t>West</t>
  </si>
  <si>
    <t>Technology</t>
  </si>
  <si>
    <t>Phones</t>
  </si>
  <si>
    <t>Android Phone</t>
  </si>
  <si>
    <t>ORD-003</t>
  </si>
  <si>
    <t>Carol Wambui</t>
  </si>
  <si>
    <t>South</t>
  </si>
  <si>
    <t>Office Supplies</t>
  </si>
  <si>
    <t>Paper</t>
  </si>
  <si>
    <t>A4 Paper Pack</t>
  </si>
  <si>
    <t>Pending</t>
  </si>
  <si>
    <t>ORD-004</t>
  </si>
  <si>
    <t>David Mwangi</t>
  </si>
  <si>
    <t>North</t>
  </si>
  <si>
    <t>Tables</t>
  </si>
  <si>
    <t>Conference Table</t>
  </si>
  <si>
    <t>ORD-005</t>
  </si>
  <si>
    <t>Esther Achieng</t>
  </si>
  <si>
    <t>Laptops</t>
  </si>
  <si>
    <t>Business Laptop</t>
  </si>
  <si>
    <t>ORD-006</t>
  </si>
  <si>
    <t>Felix Kariuki</t>
  </si>
  <si>
    <t>ORD-007</t>
  </si>
  <si>
    <t>Grace Mutua</t>
  </si>
  <si>
    <t>Pens</t>
  </si>
  <si>
    <t>Blue Pens Set</t>
  </si>
  <si>
    <t>ORD-008</t>
  </si>
  <si>
    <t>Henry Mworia</t>
  </si>
  <si>
    <t>Bookcases</t>
  </si>
  <si>
    <t>Wooden Shelf</t>
  </si>
  <si>
    <t>ORD-009</t>
  </si>
  <si>
    <t>Irene Njeri</t>
  </si>
  <si>
    <t>Accessories</t>
  </si>
  <si>
    <t>USB Cable</t>
  </si>
  <si>
    <t>ORD-010</t>
  </si>
  <si>
    <t>James Kipkoech</t>
  </si>
  <si>
    <t>ORD-011</t>
  </si>
  <si>
    <t>Karen Aoko</t>
  </si>
  <si>
    <t>Dining Table</t>
  </si>
  <si>
    <t>ORD-012</t>
  </si>
  <si>
    <t>Leon Ong’era</t>
  </si>
  <si>
    <t>ORD-013</t>
  </si>
  <si>
    <t>Mary Njenga</t>
  </si>
  <si>
    <t>Leather Chair</t>
  </si>
  <si>
    <t>ORD-014</t>
  </si>
  <si>
    <t>Nick Ochieng</t>
  </si>
  <si>
    <t>Bluetooth Mouse</t>
  </si>
  <si>
    <t>ORD-015</t>
  </si>
  <si>
    <t>Olivia Wekesa</t>
  </si>
  <si>
    <t>Coffee Table</t>
  </si>
  <si>
    <t>ORD-016</t>
  </si>
  <si>
    <t>Peter Kamau</t>
  </si>
  <si>
    <t>A3 Paper Pack</t>
  </si>
  <si>
    <t>ORD-017</t>
  </si>
  <si>
    <t>Queen Naliaka</t>
  </si>
  <si>
    <t>ORD-018</t>
  </si>
  <si>
    <t>Robert Kimani</t>
  </si>
  <si>
    <t>Envelopes</t>
  </si>
  <si>
    <t>Brown Envelopes</t>
  </si>
  <si>
    <t>ORD-019</t>
  </si>
  <si>
    <t>Sarah Njoki</t>
  </si>
  <si>
    <t>Metal Shelf</t>
  </si>
  <si>
    <t>ORD-020</t>
  </si>
  <si>
    <t>Tony Mburu</t>
  </si>
  <si>
    <t>Flash Drive</t>
  </si>
  <si>
    <t>ORD-021</t>
  </si>
  <si>
    <t>Ursula Waweru</t>
  </si>
  <si>
    <t>Plastic Chair</t>
  </si>
  <si>
    <t>ORD-022</t>
  </si>
  <si>
    <t>Victor Ouma</t>
  </si>
  <si>
    <t>ORD-023</t>
  </si>
  <si>
    <t>Winnie Atieno</t>
  </si>
  <si>
    <t>Binders</t>
  </si>
  <si>
    <t>Plastic Binder</t>
  </si>
  <si>
    <t>ORD-024</t>
  </si>
  <si>
    <t>Xavier Kilonzo</t>
  </si>
  <si>
    <t>Study Desk</t>
  </si>
  <si>
    <t>ORD-025</t>
  </si>
  <si>
    <t>Yvonne Otieno</t>
  </si>
  <si>
    <t>Gaming Laptop</t>
  </si>
  <si>
    <t>TOTAL SALES</t>
  </si>
  <si>
    <t>TOTAL QUANTITY</t>
  </si>
  <si>
    <t xml:space="preserve">AVERAGE UNITE PRICE </t>
  </si>
  <si>
    <t>AVERAGE SALES PER ORDER</t>
  </si>
  <si>
    <t>technology generate the highest average sales</t>
  </si>
  <si>
    <t>COUNT</t>
  </si>
  <si>
    <t>COUNTA</t>
  </si>
  <si>
    <t>COUNTBLANK</t>
  </si>
  <si>
    <t>MIN</t>
  </si>
  <si>
    <t>MAX</t>
  </si>
  <si>
    <t>LEN</t>
  </si>
  <si>
    <t>TRIM</t>
  </si>
  <si>
    <t>Felix    Kariuki</t>
  </si>
  <si>
    <t xml:space="preserve">Irene Njeri  </t>
  </si>
  <si>
    <t>performance</t>
  </si>
  <si>
    <t>total sales</t>
  </si>
  <si>
    <t>average sales</t>
  </si>
  <si>
    <t>highest sales</t>
  </si>
  <si>
    <t>lowest sales</t>
  </si>
  <si>
    <t>missing value count</t>
  </si>
  <si>
    <t>target achievement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</si>
</sst>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E1" workbookViewId="0">
      <selection activeCell="M14" sqref="M14"/>
    </sheetView>
  </sheetViews>
  <sheetFormatPr defaultRowHeight="14.5" x14ac:dyDescent="0.35"/>
  <cols>
    <col min="1" max="1" width="10.453125" bestFit="1" customWidth="1"/>
    <col min="2" max="2" width="8.1796875" bestFit="1" customWidth="1"/>
    <col min="3" max="3" width="14.453125" bestFit="1" customWidth="1"/>
    <col min="4" max="4" width="6.453125" bestFit="1" customWidth="1"/>
    <col min="5" max="5" width="13.1796875" bestFit="1" customWidth="1"/>
    <col min="6" max="6" width="12" bestFit="1" customWidth="1"/>
    <col min="7" max="7" width="15.453125" bestFit="1" customWidth="1"/>
    <col min="8" max="8" width="8.1796875" bestFit="1" customWidth="1"/>
    <col min="9" max="9" width="8.90625" bestFit="1" customWidth="1"/>
    <col min="10" max="10" width="5" bestFit="1" customWidth="1"/>
    <col min="11" max="11" width="6.1796875" bestFit="1" customWidth="1"/>
    <col min="12" max="12" width="11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</row>
    <row r="3" spans="1:12" x14ac:dyDescent="0.3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</row>
    <row r="4" spans="1:12" x14ac:dyDescent="0.3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</row>
    <row r="5" spans="1:12" x14ac:dyDescent="0.3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</row>
    <row r="6" spans="1:12" x14ac:dyDescent="0.3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</row>
    <row r="7" spans="1:12" x14ac:dyDescent="0.3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</row>
    <row r="8" spans="1:12" x14ac:dyDescent="0.3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</row>
    <row r="9" spans="1:12" x14ac:dyDescent="0.3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</row>
    <row r="10" spans="1:12" x14ac:dyDescent="0.3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</row>
    <row r="11" spans="1:12" x14ac:dyDescent="0.3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</row>
    <row r="12" spans="1:12" x14ac:dyDescent="0.3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</row>
    <row r="13" spans="1:12" x14ac:dyDescent="0.3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</row>
    <row r="14" spans="1:12" x14ac:dyDescent="0.3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</row>
    <row r="15" spans="1:12" x14ac:dyDescent="0.3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</row>
    <row r="16" spans="1:12" x14ac:dyDescent="0.3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</row>
    <row r="17" spans="1:12" x14ac:dyDescent="0.3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</row>
    <row r="18" spans="1:12" x14ac:dyDescent="0.3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</row>
    <row r="19" spans="1:12" x14ac:dyDescent="0.3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</row>
    <row r="20" spans="1:12" x14ac:dyDescent="0.3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</row>
    <row r="21" spans="1:12" x14ac:dyDescent="0.3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</row>
    <row r="22" spans="1:12" x14ac:dyDescent="0.3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</row>
    <row r="23" spans="1:12" x14ac:dyDescent="0.3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</row>
    <row r="24" spans="1:12" x14ac:dyDescent="0.3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</row>
    <row r="25" spans="1:12" x14ac:dyDescent="0.3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</row>
    <row r="26" spans="1:12" x14ac:dyDescent="0.3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O1" zoomScaleNormal="100" workbookViewId="0">
      <selection activeCell="S10" sqref="S10"/>
    </sheetView>
  </sheetViews>
  <sheetFormatPr defaultRowHeight="15.5" x14ac:dyDescent="0.35"/>
  <cols>
    <col min="1" max="1" width="11.6328125" style="5" bestFit="1" customWidth="1"/>
    <col min="2" max="2" width="9.6328125" style="5" bestFit="1" customWidth="1"/>
    <col min="3" max="3" width="15.90625" style="5" bestFit="1" customWidth="1"/>
    <col min="4" max="4" width="7.36328125" style="5" bestFit="1" customWidth="1"/>
    <col min="5" max="5" width="14.26953125" style="5" bestFit="1" customWidth="1"/>
    <col min="6" max="6" width="13.81640625" style="5" bestFit="1" customWidth="1"/>
    <col min="7" max="7" width="16.54296875" style="5" bestFit="1" customWidth="1"/>
    <col min="8" max="8" width="9.1796875" style="5" bestFit="1" customWidth="1"/>
    <col min="9" max="9" width="10.453125" style="5" bestFit="1" customWidth="1"/>
    <col min="10" max="10" width="5.54296875" style="5" bestFit="1" customWidth="1"/>
    <col min="11" max="11" width="7.08984375" style="5" bestFit="1" customWidth="1"/>
    <col min="12" max="12" width="13.08984375" style="5" bestFit="1" customWidth="1"/>
    <col min="13" max="13" width="8.7265625" style="5"/>
    <col min="14" max="14" width="15.7265625" style="5" bestFit="1" customWidth="1"/>
    <col min="15" max="15" width="20.453125" style="5" bestFit="1" customWidth="1"/>
    <col min="16" max="16" width="27" style="5" bestFit="1" customWidth="1"/>
    <col min="17" max="17" width="32.6328125" style="5" bestFit="1" customWidth="1"/>
    <col min="18" max="18" width="8.7265625" style="5"/>
    <col min="19" max="19" width="39.90625" style="5" bestFit="1" customWidth="1"/>
    <col min="20" max="16384" width="8.7265625" style="5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N1" s="4" t="s">
        <v>101</v>
      </c>
      <c r="O1" s="4" t="s">
        <v>102</v>
      </c>
      <c r="P1" s="4" t="s">
        <v>103</v>
      </c>
      <c r="Q1" s="4" t="s">
        <v>104</v>
      </c>
    </row>
    <row r="2" spans="1:19" x14ac:dyDescent="0.35">
      <c r="A2" s="6">
        <v>45659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>
        <v>2</v>
      </c>
      <c r="I2" s="7">
        <v>120</v>
      </c>
      <c r="J2" s="7">
        <v>240</v>
      </c>
      <c r="K2" s="7">
        <v>300</v>
      </c>
      <c r="L2" s="7" t="s">
        <v>18</v>
      </c>
      <c r="N2" s="5">
        <f>SUM(J2:J26)</f>
        <v>9705</v>
      </c>
      <c r="O2" s="5">
        <f>SUM(H2:H26)</f>
        <v>68</v>
      </c>
      <c r="P2" s="8">
        <f>AVERAGE(I2:I26)</f>
        <v>229.8</v>
      </c>
      <c r="Q2" s="8">
        <f>AVERAGE(J2:J26)</f>
        <v>510.78947368421052</v>
      </c>
    </row>
    <row r="3" spans="1:19" x14ac:dyDescent="0.35">
      <c r="A3" s="6">
        <v>45660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3</v>
      </c>
      <c r="I3" s="7">
        <v>220</v>
      </c>
      <c r="J3" s="7">
        <v>660</v>
      </c>
      <c r="K3" s="7">
        <v>700</v>
      </c>
      <c r="L3" s="7" t="s">
        <v>18</v>
      </c>
      <c r="N3" s="5">
        <f t="shared" ref="N3:N26" si="0">SUM(J3:J27)</f>
        <v>9465</v>
      </c>
      <c r="O3" s="5">
        <f t="shared" ref="O3:O26" si="1">SUM(H3:H27)</f>
        <v>66</v>
      </c>
      <c r="P3" s="8">
        <f t="shared" ref="P3:P26" si="2">AVERAGE(I3:I27)</f>
        <v>234.375</v>
      </c>
      <c r="Q3" s="8">
        <f t="shared" ref="Q3:Q26" si="3">AVERAGE(J3:J27)</f>
        <v>525.83333333333337</v>
      </c>
    </row>
    <row r="4" spans="1:19" x14ac:dyDescent="0.35">
      <c r="A4" s="6">
        <v>45661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5</v>
      </c>
      <c r="I4" s="7">
        <v>25</v>
      </c>
      <c r="J4" s="7">
        <v>125</v>
      </c>
      <c r="K4" s="7">
        <v>200</v>
      </c>
      <c r="L4" s="7" t="s">
        <v>31</v>
      </c>
      <c r="N4" s="5">
        <f t="shared" si="0"/>
        <v>8805</v>
      </c>
      <c r="O4" s="5">
        <f t="shared" si="1"/>
        <v>63</v>
      </c>
      <c r="P4" s="8">
        <f t="shared" si="2"/>
        <v>235</v>
      </c>
      <c r="Q4" s="8">
        <f t="shared" si="3"/>
        <v>517.94117647058829</v>
      </c>
    </row>
    <row r="5" spans="1:19" x14ac:dyDescent="0.35">
      <c r="A5" s="6">
        <v>45662</v>
      </c>
      <c r="B5" s="7" t="s">
        <v>32</v>
      </c>
      <c r="C5" s="7" t="s">
        <v>33</v>
      </c>
      <c r="D5" s="7" t="s">
        <v>34</v>
      </c>
      <c r="E5" s="7" t="s">
        <v>15</v>
      </c>
      <c r="F5" s="7" t="s">
        <v>35</v>
      </c>
      <c r="G5" s="7" t="s">
        <v>36</v>
      </c>
      <c r="H5" s="7">
        <v>1</v>
      </c>
      <c r="I5" s="7">
        <v>450</v>
      </c>
      <c r="J5" s="7">
        <v>450</v>
      </c>
      <c r="K5" s="7">
        <v>500</v>
      </c>
      <c r="L5" s="7" t="s">
        <v>18</v>
      </c>
      <c r="N5" s="5">
        <f t="shared" si="0"/>
        <v>8680</v>
      </c>
      <c r="O5" s="5">
        <f t="shared" si="1"/>
        <v>58</v>
      </c>
      <c r="P5" s="8">
        <f t="shared" si="2"/>
        <v>244.54545454545453</v>
      </c>
      <c r="Q5" s="8">
        <f t="shared" si="3"/>
        <v>542.5</v>
      </c>
    </row>
    <row r="6" spans="1:19" x14ac:dyDescent="0.35">
      <c r="A6" s="6">
        <v>45663</v>
      </c>
      <c r="B6" s="7" t="s">
        <v>37</v>
      </c>
      <c r="C6" s="7" t="s">
        <v>38</v>
      </c>
      <c r="D6" s="7" t="s">
        <v>14</v>
      </c>
      <c r="E6" s="7" t="s">
        <v>22</v>
      </c>
      <c r="F6" s="7" t="s">
        <v>39</v>
      </c>
      <c r="G6" s="7" t="s">
        <v>40</v>
      </c>
      <c r="H6" s="7">
        <v>2</v>
      </c>
      <c r="I6" s="7">
        <v>650</v>
      </c>
      <c r="J6" s="7">
        <v>1300</v>
      </c>
      <c r="K6" s="7">
        <v>1400</v>
      </c>
      <c r="L6" s="7" t="s">
        <v>18</v>
      </c>
      <c r="N6" s="5">
        <f t="shared" si="0"/>
        <v>8230</v>
      </c>
      <c r="O6" s="5">
        <f t="shared" si="1"/>
        <v>57</v>
      </c>
      <c r="P6" s="8">
        <f t="shared" si="2"/>
        <v>234.76190476190476</v>
      </c>
      <c r="Q6" s="8">
        <f t="shared" si="3"/>
        <v>548.66666666666663</v>
      </c>
    </row>
    <row r="7" spans="1:19" x14ac:dyDescent="0.35">
      <c r="A7" s="6">
        <v>45664</v>
      </c>
      <c r="B7" s="7" t="s">
        <v>41</v>
      </c>
      <c r="C7" s="7" t="s">
        <v>42</v>
      </c>
      <c r="D7" s="7" t="s">
        <v>21</v>
      </c>
      <c r="E7" s="7" t="s">
        <v>15</v>
      </c>
      <c r="F7" s="7" t="s">
        <v>16</v>
      </c>
      <c r="G7" s="7" t="s">
        <v>17</v>
      </c>
      <c r="H7" s="7">
        <v>3</v>
      </c>
      <c r="I7" s="7">
        <v>115</v>
      </c>
      <c r="J7" s="7">
        <v>345</v>
      </c>
      <c r="K7" s="7">
        <v>350</v>
      </c>
      <c r="L7" s="7" t="s">
        <v>18</v>
      </c>
      <c r="N7" s="5">
        <f t="shared" si="0"/>
        <v>6930</v>
      </c>
      <c r="O7" s="5">
        <f t="shared" si="1"/>
        <v>55</v>
      </c>
      <c r="P7" s="8">
        <f t="shared" si="2"/>
        <v>214</v>
      </c>
      <c r="Q7" s="8">
        <f t="shared" si="3"/>
        <v>495</v>
      </c>
    </row>
    <row r="8" spans="1:19" x14ac:dyDescent="0.35">
      <c r="A8" s="6">
        <v>45665</v>
      </c>
      <c r="B8" s="7" t="s">
        <v>43</v>
      </c>
      <c r="C8" s="7" t="s">
        <v>44</v>
      </c>
      <c r="D8" s="7" t="s">
        <v>27</v>
      </c>
      <c r="E8" s="7" t="s">
        <v>28</v>
      </c>
      <c r="F8" s="7" t="s">
        <v>45</v>
      </c>
      <c r="G8" s="7" t="s">
        <v>46</v>
      </c>
      <c r="H8" s="7">
        <v>8</v>
      </c>
      <c r="I8" s="7">
        <v>15</v>
      </c>
      <c r="J8" s="7">
        <v>120</v>
      </c>
      <c r="K8" s="7">
        <v>150</v>
      </c>
      <c r="L8" s="7" t="s">
        <v>18</v>
      </c>
      <c r="N8" s="5">
        <f t="shared" si="0"/>
        <v>6585</v>
      </c>
      <c r="O8" s="5">
        <f t="shared" si="1"/>
        <v>52</v>
      </c>
      <c r="P8" s="8">
        <f t="shared" si="2"/>
        <v>219.21052631578948</v>
      </c>
      <c r="Q8" s="8">
        <f t="shared" si="3"/>
        <v>506.53846153846155</v>
      </c>
    </row>
    <row r="9" spans="1:19" x14ac:dyDescent="0.35">
      <c r="A9" s="6">
        <v>45666</v>
      </c>
      <c r="B9" s="7" t="s">
        <v>47</v>
      </c>
      <c r="C9" s="7" t="s">
        <v>48</v>
      </c>
      <c r="D9" s="7" t="s">
        <v>14</v>
      </c>
      <c r="E9" s="7" t="s">
        <v>15</v>
      </c>
      <c r="F9" s="7" t="s">
        <v>49</v>
      </c>
      <c r="G9" s="7" t="s">
        <v>50</v>
      </c>
      <c r="H9" s="7"/>
      <c r="I9" s="7">
        <v>300</v>
      </c>
      <c r="J9" s="7"/>
      <c r="K9" s="7">
        <v>600</v>
      </c>
      <c r="L9" s="7" t="s">
        <v>31</v>
      </c>
      <c r="N9" s="5">
        <f t="shared" si="0"/>
        <v>6465</v>
      </c>
      <c r="O9" s="5">
        <f t="shared" si="1"/>
        <v>44</v>
      </c>
      <c r="P9" s="8">
        <f t="shared" si="2"/>
        <v>230.55555555555554</v>
      </c>
      <c r="Q9" s="8">
        <f t="shared" si="3"/>
        <v>538.75</v>
      </c>
    </row>
    <row r="10" spans="1:19" x14ac:dyDescent="0.35">
      <c r="A10" s="6">
        <v>45667</v>
      </c>
      <c r="B10" s="7" t="s">
        <v>51</v>
      </c>
      <c r="C10" s="7" t="s">
        <v>52</v>
      </c>
      <c r="D10" s="7" t="s">
        <v>34</v>
      </c>
      <c r="E10" s="7" t="s">
        <v>22</v>
      </c>
      <c r="F10" s="7" t="s">
        <v>53</v>
      </c>
      <c r="G10" s="7" t="s">
        <v>54</v>
      </c>
      <c r="H10" s="7">
        <v>10</v>
      </c>
      <c r="I10" s="7">
        <v>10</v>
      </c>
      <c r="J10" s="7">
        <v>100</v>
      </c>
      <c r="K10" s="7">
        <v>150</v>
      </c>
      <c r="L10" s="7" t="s">
        <v>18</v>
      </c>
      <c r="N10" s="5">
        <f t="shared" si="0"/>
        <v>6465</v>
      </c>
      <c r="O10" s="5">
        <f t="shared" si="1"/>
        <v>44</v>
      </c>
      <c r="P10" s="8">
        <f t="shared" si="2"/>
        <v>226.47058823529412</v>
      </c>
      <c r="Q10" s="8">
        <f t="shared" si="3"/>
        <v>538.75</v>
      </c>
      <c r="S10" s="5" t="s">
        <v>105</v>
      </c>
    </row>
    <row r="11" spans="1:19" x14ac:dyDescent="0.35">
      <c r="A11" s="6">
        <v>45668</v>
      </c>
      <c r="B11" s="7" t="s">
        <v>55</v>
      </c>
      <c r="C11" s="7" t="s">
        <v>56</v>
      </c>
      <c r="D11" s="7" t="s">
        <v>21</v>
      </c>
      <c r="E11" s="7" t="s">
        <v>28</v>
      </c>
      <c r="F11" s="7" t="s">
        <v>29</v>
      </c>
      <c r="G11" s="7" t="s">
        <v>30</v>
      </c>
      <c r="H11" s="7"/>
      <c r="I11" s="7">
        <v>25</v>
      </c>
      <c r="J11" s="7"/>
      <c r="K11" s="7">
        <v>200</v>
      </c>
      <c r="L11" s="7" t="s">
        <v>31</v>
      </c>
      <c r="N11" s="5">
        <f t="shared" si="0"/>
        <v>6365</v>
      </c>
      <c r="O11" s="5">
        <f t="shared" si="1"/>
        <v>34</v>
      </c>
      <c r="P11" s="8">
        <f t="shared" si="2"/>
        <v>240</v>
      </c>
      <c r="Q11" s="8">
        <f t="shared" si="3"/>
        <v>578.63636363636363</v>
      </c>
    </row>
    <row r="12" spans="1:19" x14ac:dyDescent="0.35">
      <c r="A12" s="6">
        <v>45669</v>
      </c>
      <c r="B12" s="7" t="s">
        <v>57</v>
      </c>
      <c r="C12" s="7" t="s">
        <v>58</v>
      </c>
      <c r="D12" s="7" t="s">
        <v>27</v>
      </c>
      <c r="E12" s="7" t="s">
        <v>15</v>
      </c>
      <c r="F12" s="7" t="s">
        <v>35</v>
      </c>
      <c r="G12" s="7" t="s">
        <v>59</v>
      </c>
      <c r="H12" s="7">
        <v>2</v>
      </c>
      <c r="I12" s="7">
        <v>400</v>
      </c>
      <c r="J12" s="7">
        <v>800</v>
      </c>
      <c r="K12" s="7">
        <v>750</v>
      </c>
      <c r="L12" s="7" t="s">
        <v>18</v>
      </c>
      <c r="N12" s="5">
        <f t="shared" si="0"/>
        <v>6365</v>
      </c>
      <c r="O12" s="5">
        <f t="shared" si="1"/>
        <v>34</v>
      </c>
      <c r="P12" s="8">
        <f t="shared" si="2"/>
        <v>254.33333333333334</v>
      </c>
      <c r="Q12" s="8">
        <f t="shared" si="3"/>
        <v>578.63636363636363</v>
      </c>
    </row>
    <row r="13" spans="1:19" x14ac:dyDescent="0.35">
      <c r="A13" s="6">
        <v>45670</v>
      </c>
      <c r="B13" s="7" t="s">
        <v>60</v>
      </c>
      <c r="C13" s="7" t="s">
        <v>61</v>
      </c>
      <c r="D13" s="7" t="s">
        <v>14</v>
      </c>
      <c r="E13" s="7" t="s">
        <v>22</v>
      </c>
      <c r="F13" s="7" t="s">
        <v>39</v>
      </c>
      <c r="G13" s="7" t="s">
        <v>40</v>
      </c>
      <c r="H13" s="7"/>
      <c r="I13" s="7">
        <v>650</v>
      </c>
      <c r="J13" s="7"/>
      <c r="K13" s="7">
        <v>1400</v>
      </c>
      <c r="L13" s="7" t="s">
        <v>31</v>
      </c>
      <c r="N13" s="5">
        <f t="shared" si="0"/>
        <v>5565</v>
      </c>
      <c r="O13" s="5">
        <f t="shared" si="1"/>
        <v>32</v>
      </c>
      <c r="P13" s="8">
        <f t="shared" si="2"/>
        <v>243.92857142857142</v>
      </c>
      <c r="Q13" s="8">
        <f t="shared" si="3"/>
        <v>556.5</v>
      </c>
    </row>
    <row r="14" spans="1:19" x14ac:dyDescent="0.35">
      <c r="A14" s="6">
        <v>45671</v>
      </c>
      <c r="B14" s="7" t="s">
        <v>62</v>
      </c>
      <c r="C14" s="7" t="s">
        <v>63</v>
      </c>
      <c r="D14" s="7" t="s">
        <v>34</v>
      </c>
      <c r="E14" s="7" t="s">
        <v>15</v>
      </c>
      <c r="F14" s="7" t="s">
        <v>16</v>
      </c>
      <c r="G14" s="7" t="s">
        <v>64</v>
      </c>
      <c r="H14" s="7">
        <v>4</v>
      </c>
      <c r="I14" s="7">
        <v>200</v>
      </c>
      <c r="J14" s="7">
        <v>800</v>
      </c>
      <c r="K14" s="7">
        <v>900</v>
      </c>
      <c r="L14" s="7" t="s">
        <v>18</v>
      </c>
      <c r="N14" s="5">
        <f t="shared" si="0"/>
        <v>5565</v>
      </c>
      <c r="O14" s="5">
        <f t="shared" si="1"/>
        <v>32</v>
      </c>
      <c r="P14" s="8">
        <f t="shared" si="2"/>
        <v>212.69230769230768</v>
      </c>
      <c r="Q14" s="8">
        <f t="shared" si="3"/>
        <v>556.5</v>
      </c>
    </row>
    <row r="15" spans="1:19" x14ac:dyDescent="0.35">
      <c r="A15" s="6">
        <v>45672</v>
      </c>
      <c r="B15" s="7" t="s">
        <v>65</v>
      </c>
      <c r="C15" s="7" t="s">
        <v>66</v>
      </c>
      <c r="D15" s="7" t="s">
        <v>27</v>
      </c>
      <c r="E15" s="7" t="s">
        <v>22</v>
      </c>
      <c r="F15" s="7" t="s">
        <v>53</v>
      </c>
      <c r="G15" s="7" t="s">
        <v>67</v>
      </c>
      <c r="H15" s="7">
        <v>5</v>
      </c>
      <c r="I15" s="7">
        <v>25</v>
      </c>
      <c r="J15" s="7">
        <v>125</v>
      </c>
      <c r="K15" s="7">
        <v>150</v>
      </c>
      <c r="L15" s="7" t="s">
        <v>18</v>
      </c>
      <c r="N15" s="5">
        <f t="shared" si="0"/>
        <v>4765</v>
      </c>
      <c r="O15" s="5">
        <f t="shared" si="1"/>
        <v>28</v>
      </c>
      <c r="P15" s="8">
        <f t="shared" si="2"/>
        <v>213.75</v>
      </c>
      <c r="Q15" s="8">
        <f t="shared" si="3"/>
        <v>529.44444444444446</v>
      </c>
    </row>
    <row r="16" spans="1:19" x14ac:dyDescent="0.35">
      <c r="A16" s="6">
        <v>45673</v>
      </c>
      <c r="B16" s="7" t="s">
        <v>68</v>
      </c>
      <c r="C16" s="7" t="s">
        <v>69</v>
      </c>
      <c r="D16" s="7" t="s">
        <v>21</v>
      </c>
      <c r="E16" s="7" t="s">
        <v>15</v>
      </c>
      <c r="F16" s="7" t="s">
        <v>35</v>
      </c>
      <c r="G16" s="7" t="s">
        <v>70</v>
      </c>
      <c r="H16" s="7">
        <v>2</v>
      </c>
      <c r="I16" s="7">
        <v>300</v>
      </c>
      <c r="J16" s="7">
        <v>600</v>
      </c>
      <c r="K16" s="7">
        <v>500</v>
      </c>
      <c r="L16" s="7" t="s">
        <v>18</v>
      </c>
      <c r="N16" s="5">
        <f t="shared" si="0"/>
        <v>4640</v>
      </c>
      <c r="O16" s="5">
        <f t="shared" si="1"/>
        <v>23</v>
      </c>
      <c r="P16" s="8">
        <f t="shared" si="2"/>
        <v>230.90909090909091</v>
      </c>
      <c r="Q16" s="8">
        <f t="shared" si="3"/>
        <v>580</v>
      </c>
    </row>
    <row r="17" spans="1:17" x14ac:dyDescent="0.35">
      <c r="A17" s="6">
        <v>45674</v>
      </c>
      <c r="B17" s="7" t="s">
        <v>71</v>
      </c>
      <c r="C17" s="7" t="s">
        <v>72</v>
      </c>
      <c r="D17" s="7" t="s">
        <v>14</v>
      </c>
      <c r="E17" s="7" t="s">
        <v>28</v>
      </c>
      <c r="F17" s="7" t="s">
        <v>29</v>
      </c>
      <c r="G17" s="7" t="s">
        <v>73</v>
      </c>
      <c r="H17" s="7"/>
      <c r="I17" s="7">
        <v>30</v>
      </c>
      <c r="J17" s="7"/>
      <c r="K17" s="7">
        <v>250</v>
      </c>
      <c r="L17" s="7" t="s">
        <v>31</v>
      </c>
      <c r="N17" s="5">
        <f t="shared" si="0"/>
        <v>4040</v>
      </c>
      <c r="O17" s="5">
        <f t="shared" si="1"/>
        <v>21</v>
      </c>
      <c r="P17" s="8">
        <f t="shared" si="2"/>
        <v>224</v>
      </c>
      <c r="Q17" s="8">
        <f t="shared" si="3"/>
        <v>577.14285714285711</v>
      </c>
    </row>
    <row r="18" spans="1:17" x14ac:dyDescent="0.35">
      <c r="A18" s="6">
        <v>45675</v>
      </c>
      <c r="B18" s="7" t="s">
        <v>74</v>
      </c>
      <c r="C18" s="7" t="s">
        <v>75</v>
      </c>
      <c r="D18" s="7" t="s">
        <v>34</v>
      </c>
      <c r="E18" s="7" t="s">
        <v>22</v>
      </c>
      <c r="F18" s="7" t="s">
        <v>23</v>
      </c>
      <c r="G18" s="7" t="s">
        <v>24</v>
      </c>
      <c r="H18" s="7">
        <v>1</v>
      </c>
      <c r="I18" s="7">
        <v>230</v>
      </c>
      <c r="J18" s="7">
        <v>230</v>
      </c>
      <c r="K18" s="7">
        <v>250</v>
      </c>
      <c r="L18" s="7" t="s">
        <v>18</v>
      </c>
      <c r="N18" s="5">
        <f t="shared" si="0"/>
        <v>4040</v>
      </c>
      <c r="O18" s="5">
        <f t="shared" si="1"/>
        <v>21</v>
      </c>
      <c r="P18" s="8">
        <f t="shared" si="2"/>
        <v>245.55555555555554</v>
      </c>
      <c r="Q18" s="8">
        <f t="shared" si="3"/>
        <v>577.14285714285711</v>
      </c>
    </row>
    <row r="19" spans="1:17" x14ac:dyDescent="0.35">
      <c r="A19" s="6">
        <v>45676</v>
      </c>
      <c r="B19" s="7" t="s">
        <v>76</v>
      </c>
      <c r="C19" s="7" t="s">
        <v>77</v>
      </c>
      <c r="D19" s="7" t="s">
        <v>27</v>
      </c>
      <c r="E19" s="7" t="s">
        <v>28</v>
      </c>
      <c r="F19" s="7" t="s">
        <v>78</v>
      </c>
      <c r="G19" s="7" t="s">
        <v>79</v>
      </c>
      <c r="H19" s="7">
        <v>6</v>
      </c>
      <c r="I19" s="7">
        <v>20</v>
      </c>
      <c r="J19" s="7">
        <v>120</v>
      </c>
      <c r="K19" s="7">
        <v>150</v>
      </c>
      <c r="L19" s="7" t="s">
        <v>18</v>
      </c>
      <c r="N19" s="5">
        <f t="shared" si="0"/>
        <v>3810</v>
      </c>
      <c r="O19" s="5">
        <f t="shared" si="1"/>
        <v>20</v>
      </c>
      <c r="P19" s="8">
        <f t="shared" si="2"/>
        <v>247.5</v>
      </c>
      <c r="Q19" s="8">
        <f t="shared" si="3"/>
        <v>635</v>
      </c>
    </row>
    <row r="20" spans="1:17" x14ac:dyDescent="0.35">
      <c r="A20" s="6">
        <v>45677</v>
      </c>
      <c r="B20" s="7" t="s">
        <v>80</v>
      </c>
      <c r="C20" s="7" t="s">
        <v>81</v>
      </c>
      <c r="D20" s="7" t="s">
        <v>14</v>
      </c>
      <c r="E20" s="7" t="s">
        <v>15</v>
      </c>
      <c r="F20" s="7" t="s">
        <v>49</v>
      </c>
      <c r="G20" s="7" t="s">
        <v>82</v>
      </c>
      <c r="H20" s="7">
        <v>3</v>
      </c>
      <c r="I20" s="7">
        <v>320</v>
      </c>
      <c r="J20" s="7">
        <v>960</v>
      </c>
      <c r="K20" s="7">
        <v>1000</v>
      </c>
      <c r="L20" s="7" t="s">
        <v>18</v>
      </c>
      <c r="N20" s="5">
        <f t="shared" si="0"/>
        <v>3690</v>
      </c>
      <c r="O20" s="5">
        <f t="shared" si="1"/>
        <v>14</v>
      </c>
      <c r="P20" s="8">
        <f t="shared" si="2"/>
        <v>280</v>
      </c>
      <c r="Q20" s="8">
        <f t="shared" si="3"/>
        <v>738</v>
      </c>
    </row>
    <row r="21" spans="1:17" x14ac:dyDescent="0.35">
      <c r="A21" s="6">
        <v>45678</v>
      </c>
      <c r="B21" s="7" t="s">
        <v>83</v>
      </c>
      <c r="C21" s="7" t="s">
        <v>84</v>
      </c>
      <c r="D21" s="7" t="s">
        <v>21</v>
      </c>
      <c r="E21" s="7" t="s">
        <v>22</v>
      </c>
      <c r="F21" s="7" t="s">
        <v>53</v>
      </c>
      <c r="G21" s="7" t="s">
        <v>85</v>
      </c>
      <c r="H21" s="7"/>
      <c r="I21" s="7">
        <v>35</v>
      </c>
      <c r="J21" s="7"/>
      <c r="K21" s="7">
        <v>175</v>
      </c>
      <c r="L21" s="7" t="s">
        <v>31</v>
      </c>
      <c r="N21" s="5">
        <f t="shared" si="0"/>
        <v>2730</v>
      </c>
      <c r="O21" s="5">
        <f t="shared" si="1"/>
        <v>11</v>
      </c>
      <c r="P21" s="8">
        <f t="shared" si="2"/>
        <v>273.33333333333331</v>
      </c>
      <c r="Q21" s="8">
        <f t="shared" si="3"/>
        <v>682.5</v>
      </c>
    </row>
    <row r="22" spans="1:17" x14ac:dyDescent="0.35">
      <c r="A22" s="6">
        <v>45679</v>
      </c>
      <c r="B22" s="7" t="s">
        <v>86</v>
      </c>
      <c r="C22" s="7" t="s">
        <v>87</v>
      </c>
      <c r="D22" s="7" t="s">
        <v>27</v>
      </c>
      <c r="E22" s="7" t="s">
        <v>15</v>
      </c>
      <c r="F22" s="7" t="s">
        <v>16</v>
      </c>
      <c r="G22" s="7" t="s">
        <v>88</v>
      </c>
      <c r="H22" s="7">
        <v>5</v>
      </c>
      <c r="I22" s="7">
        <v>100</v>
      </c>
      <c r="J22" s="7">
        <v>500</v>
      </c>
      <c r="K22" s="7">
        <v>600</v>
      </c>
      <c r="L22" s="7" t="s">
        <v>18</v>
      </c>
      <c r="N22" s="5">
        <f t="shared" si="0"/>
        <v>2730</v>
      </c>
      <c r="O22" s="5">
        <f t="shared" si="1"/>
        <v>11</v>
      </c>
      <c r="P22" s="8">
        <f t="shared" si="2"/>
        <v>321</v>
      </c>
      <c r="Q22" s="8">
        <f t="shared" si="3"/>
        <v>682.5</v>
      </c>
    </row>
    <row r="23" spans="1:17" x14ac:dyDescent="0.35">
      <c r="A23" s="6">
        <v>45680</v>
      </c>
      <c r="B23" s="7" t="s">
        <v>89</v>
      </c>
      <c r="C23" s="7" t="s">
        <v>90</v>
      </c>
      <c r="D23" s="7" t="s">
        <v>34</v>
      </c>
      <c r="E23" s="7" t="s">
        <v>22</v>
      </c>
      <c r="F23" s="7" t="s">
        <v>23</v>
      </c>
      <c r="G23" s="7" t="s">
        <v>24</v>
      </c>
      <c r="H23" s="7">
        <v>3</v>
      </c>
      <c r="I23" s="7">
        <v>210</v>
      </c>
      <c r="J23" s="7">
        <v>630</v>
      </c>
      <c r="K23" s="7">
        <v>700</v>
      </c>
      <c r="L23" s="7" t="s">
        <v>18</v>
      </c>
      <c r="N23" s="5">
        <f t="shared" si="0"/>
        <v>2230</v>
      </c>
      <c r="O23" s="5">
        <f t="shared" si="1"/>
        <v>6</v>
      </c>
      <c r="P23" s="8">
        <f t="shared" si="2"/>
        <v>376.25</v>
      </c>
      <c r="Q23" s="8">
        <f t="shared" si="3"/>
        <v>743.33333333333337</v>
      </c>
    </row>
    <row r="24" spans="1:17" x14ac:dyDescent="0.35">
      <c r="A24" s="6">
        <v>45681</v>
      </c>
      <c r="B24" s="7" t="s">
        <v>91</v>
      </c>
      <c r="C24" s="7" t="s">
        <v>92</v>
      </c>
      <c r="D24" s="7" t="s">
        <v>14</v>
      </c>
      <c r="E24" s="7" t="s">
        <v>28</v>
      </c>
      <c r="F24" s="7" t="s">
        <v>93</v>
      </c>
      <c r="G24" s="7" t="s">
        <v>94</v>
      </c>
      <c r="H24" s="7"/>
      <c r="I24" s="7">
        <v>45</v>
      </c>
      <c r="J24" s="7"/>
      <c r="K24" s="7">
        <v>250</v>
      </c>
      <c r="L24" s="7" t="s">
        <v>31</v>
      </c>
      <c r="N24" s="5">
        <f t="shared" si="0"/>
        <v>1600</v>
      </c>
      <c r="O24" s="5">
        <f t="shared" si="1"/>
        <v>3</v>
      </c>
      <c r="P24" s="8">
        <f t="shared" si="2"/>
        <v>431.66666666666669</v>
      </c>
      <c r="Q24" s="8">
        <f t="shared" si="3"/>
        <v>800</v>
      </c>
    </row>
    <row r="25" spans="1:17" x14ac:dyDescent="0.35">
      <c r="A25" s="6">
        <v>45682</v>
      </c>
      <c r="B25" s="7" t="s">
        <v>95</v>
      </c>
      <c r="C25" s="7" t="s">
        <v>96</v>
      </c>
      <c r="D25" s="7" t="s">
        <v>21</v>
      </c>
      <c r="E25" s="7" t="s">
        <v>15</v>
      </c>
      <c r="F25" s="7" t="s">
        <v>35</v>
      </c>
      <c r="G25" s="7" t="s">
        <v>97</v>
      </c>
      <c r="H25" s="7">
        <v>2</v>
      </c>
      <c r="I25" s="7">
        <v>350</v>
      </c>
      <c r="J25" s="7">
        <v>700</v>
      </c>
      <c r="K25" s="7">
        <v>800</v>
      </c>
      <c r="L25" s="7" t="s">
        <v>18</v>
      </c>
      <c r="N25" s="5">
        <f t="shared" si="0"/>
        <v>1600</v>
      </c>
      <c r="O25" s="5">
        <f t="shared" si="1"/>
        <v>3</v>
      </c>
      <c r="P25" s="8">
        <f t="shared" si="2"/>
        <v>625</v>
      </c>
      <c r="Q25" s="8">
        <f t="shared" si="3"/>
        <v>800</v>
      </c>
    </row>
    <row r="26" spans="1:17" x14ac:dyDescent="0.35">
      <c r="A26" s="6">
        <v>45683</v>
      </c>
      <c r="B26" s="7" t="s">
        <v>98</v>
      </c>
      <c r="C26" s="7" t="s">
        <v>99</v>
      </c>
      <c r="D26" s="7" t="s">
        <v>27</v>
      </c>
      <c r="E26" s="7" t="s">
        <v>22</v>
      </c>
      <c r="F26" s="7" t="s">
        <v>39</v>
      </c>
      <c r="G26" s="7" t="s">
        <v>100</v>
      </c>
      <c r="H26" s="7">
        <v>1</v>
      </c>
      <c r="I26" s="7">
        <v>900</v>
      </c>
      <c r="J26" s="7">
        <v>900</v>
      </c>
      <c r="K26" s="7">
        <v>950</v>
      </c>
      <c r="L26" s="7" t="s">
        <v>18</v>
      </c>
      <c r="N26" s="5">
        <f t="shared" si="0"/>
        <v>900</v>
      </c>
      <c r="O26" s="5">
        <f t="shared" si="1"/>
        <v>1</v>
      </c>
      <c r="P26" s="8">
        <f t="shared" si="2"/>
        <v>900</v>
      </c>
      <c r="Q26" s="8">
        <f t="shared" si="3"/>
        <v>900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D57" workbookViewId="0">
      <selection activeCell="R12" sqref="R12"/>
    </sheetView>
  </sheetViews>
  <sheetFormatPr defaultRowHeight="15.5" x14ac:dyDescent="0.35"/>
  <cols>
    <col min="1" max="1" width="11.6328125" style="5" bestFit="1" customWidth="1"/>
    <col min="2" max="2" width="9.6328125" style="5" bestFit="1" customWidth="1"/>
    <col min="3" max="3" width="15.90625" style="5" bestFit="1" customWidth="1"/>
    <col min="4" max="4" width="7.36328125" style="5" bestFit="1" customWidth="1"/>
    <col min="5" max="5" width="14.26953125" style="5" bestFit="1" customWidth="1"/>
    <col min="6" max="6" width="13.81640625" style="5" bestFit="1" customWidth="1"/>
    <col min="7" max="7" width="16.54296875" style="5" bestFit="1" customWidth="1"/>
    <col min="8" max="8" width="9.1796875" style="5" bestFit="1" customWidth="1"/>
    <col min="9" max="9" width="10.453125" style="5" bestFit="1" customWidth="1"/>
    <col min="10" max="10" width="5.54296875" style="5" bestFit="1" customWidth="1"/>
    <col min="11" max="11" width="7.08984375" style="5" bestFit="1" customWidth="1"/>
    <col min="12" max="12" width="13.08984375" style="5" bestFit="1" customWidth="1"/>
    <col min="13" max="13" width="8.7265625" style="5"/>
    <col min="14" max="14" width="8.54296875" style="5" bestFit="1" customWidth="1"/>
    <col min="15" max="15" width="10.08984375" style="5" bestFit="1" customWidth="1"/>
    <col min="16" max="16" width="16.36328125" style="5" bestFit="1" customWidth="1"/>
    <col min="17" max="16384" width="8.7265625" style="5"/>
  </cols>
  <sheetData>
    <row r="1" spans="1:1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N1" s="4" t="s">
        <v>106</v>
      </c>
      <c r="O1" s="4" t="s">
        <v>107</v>
      </c>
      <c r="P1" s="4" t="s">
        <v>108</v>
      </c>
    </row>
    <row r="2" spans="1:16" x14ac:dyDescent="0.35">
      <c r="A2" s="6">
        <v>45659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>
        <v>2</v>
      </c>
      <c r="I2" s="7">
        <v>120</v>
      </c>
      <c r="J2" s="7">
        <v>240</v>
      </c>
      <c r="K2" s="7">
        <v>300</v>
      </c>
      <c r="L2" s="7" t="s">
        <v>18</v>
      </c>
      <c r="N2" s="5">
        <f>COUNT(A2:A26)</f>
        <v>25</v>
      </c>
      <c r="O2" s="5">
        <f>COUNTA(C2:C26)</f>
        <v>25</v>
      </c>
      <c r="P2" s="5">
        <f>COUNTBLANK(H2:H26)</f>
        <v>6</v>
      </c>
    </row>
    <row r="3" spans="1:16" x14ac:dyDescent="0.35">
      <c r="A3" s="6">
        <v>45660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3</v>
      </c>
      <c r="I3" s="7">
        <v>220</v>
      </c>
      <c r="J3" s="7">
        <v>660</v>
      </c>
      <c r="K3" s="7">
        <v>700</v>
      </c>
      <c r="L3" s="7" t="s">
        <v>18</v>
      </c>
      <c r="N3" s="5">
        <f t="shared" ref="N3:N26" si="0">COUNT(A3:A27)</f>
        <v>24</v>
      </c>
      <c r="O3" s="5">
        <f t="shared" ref="O3:O26" si="1">COUNTA(C3:C27)</f>
        <v>24</v>
      </c>
    </row>
    <row r="4" spans="1:16" x14ac:dyDescent="0.35">
      <c r="A4" s="6">
        <v>45661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5</v>
      </c>
      <c r="I4" s="7">
        <v>25</v>
      </c>
      <c r="J4" s="7">
        <v>125</v>
      </c>
      <c r="K4" s="7">
        <v>200</v>
      </c>
      <c r="L4" s="7" t="s">
        <v>31</v>
      </c>
      <c r="N4" s="5">
        <f t="shared" si="0"/>
        <v>23</v>
      </c>
      <c r="O4" s="5">
        <f t="shared" si="1"/>
        <v>23</v>
      </c>
    </row>
    <row r="5" spans="1:16" x14ac:dyDescent="0.35">
      <c r="A5" s="6">
        <v>45662</v>
      </c>
      <c r="B5" s="7" t="s">
        <v>32</v>
      </c>
      <c r="C5" s="7" t="s">
        <v>33</v>
      </c>
      <c r="D5" s="7" t="s">
        <v>34</v>
      </c>
      <c r="E5" s="7" t="s">
        <v>15</v>
      </c>
      <c r="F5" s="7" t="s">
        <v>35</v>
      </c>
      <c r="G5" s="7" t="s">
        <v>36</v>
      </c>
      <c r="H5" s="7">
        <v>1</v>
      </c>
      <c r="I5" s="7">
        <v>450</v>
      </c>
      <c r="J5" s="7">
        <v>450</v>
      </c>
      <c r="K5" s="7">
        <v>500</v>
      </c>
      <c r="L5" s="7" t="s">
        <v>18</v>
      </c>
      <c r="N5" s="5">
        <f t="shared" si="0"/>
        <v>22</v>
      </c>
      <c r="O5" s="5">
        <f t="shared" si="1"/>
        <v>22</v>
      </c>
    </row>
    <row r="6" spans="1:16" x14ac:dyDescent="0.35">
      <c r="A6" s="6">
        <v>45663</v>
      </c>
      <c r="B6" s="7" t="s">
        <v>37</v>
      </c>
      <c r="C6" s="7" t="s">
        <v>38</v>
      </c>
      <c r="D6" s="7" t="s">
        <v>14</v>
      </c>
      <c r="E6" s="7" t="s">
        <v>22</v>
      </c>
      <c r="F6" s="7" t="s">
        <v>39</v>
      </c>
      <c r="G6" s="7" t="s">
        <v>40</v>
      </c>
      <c r="H6" s="7">
        <v>2</v>
      </c>
      <c r="I6" s="7">
        <v>650</v>
      </c>
      <c r="J6" s="7">
        <v>1300</v>
      </c>
      <c r="K6" s="7">
        <v>1400</v>
      </c>
      <c r="L6" s="7" t="s">
        <v>18</v>
      </c>
      <c r="N6" s="5">
        <f t="shared" si="0"/>
        <v>21</v>
      </c>
      <c r="O6" s="5">
        <f t="shared" si="1"/>
        <v>21</v>
      </c>
    </row>
    <row r="7" spans="1:16" x14ac:dyDescent="0.35">
      <c r="A7" s="6">
        <v>45664</v>
      </c>
      <c r="B7" s="7" t="s">
        <v>41</v>
      </c>
      <c r="C7" s="7" t="s">
        <v>42</v>
      </c>
      <c r="D7" s="7" t="s">
        <v>21</v>
      </c>
      <c r="E7" s="7" t="s">
        <v>15</v>
      </c>
      <c r="F7" s="7" t="s">
        <v>16</v>
      </c>
      <c r="G7" s="7" t="s">
        <v>17</v>
      </c>
      <c r="H7" s="7">
        <v>3</v>
      </c>
      <c r="I7" s="7">
        <v>115</v>
      </c>
      <c r="J7" s="7">
        <v>345</v>
      </c>
      <c r="K7" s="7">
        <v>350</v>
      </c>
      <c r="L7" s="7" t="s">
        <v>18</v>
      </c>
      <c r="N7" s="5">
        <f t="shared" si="0"/>
        <v>20</v>
      </c>
      <c r="O7" s="5">
        <f t="shared" si="1"/>
        <v>20</v>
      </c>
    </row>
    <row r="8" spans="1:16" x14ac:dyDescent="0.35">
      <c r="A8" s="6">
        <v>45665</v>
      </c>
      <c r="B8" s="7" t="s">
        <v>43</v>
      </c>
      <c r="C8" s="7" t="s">
        <v>44</v>
      </c>
      <c r="D8" s="7" t="s">
        <v>27</v>
      </c>
      <c r="E8" s="7" t="s">
        <v>28</v>
      </c>
      <c r="F8" s="7" t="s">
        <v>45</v>
      </c>
      <c r="G8" s="7" t="s">
        <v>46</v>
      </c>
      <c r="H8" s="7">
        <v>8</v>
      </c>
      <c r="I8" s="7">
        <v>15</v>
      </c>
      <c r="J8" s="7">
        <v>120</v>
      </c>
      <c r="K8" s="7">
        <v>150</v>
      </c>
      <c r="L8" s="7" t="s">
        <v>18</v>
      </c>
      <c r="N8" s="5">
        <f t="shared" si="0"/>
        <v>19</v>
      </c>
      <c r="O8" s="5">
        <f t="shared" si="1"/>
        <v>19</v>
      </c>
    </row>
    <row r="9" spans="1:16" x14ac:dyDescent="0.35">
      <c r="A9" s="6">
        <v>45666</v>
      </c>
      <c r="B9" s="7" t="s">
        <v>47</v>
      </c>
      <c r="C9" s="7" t="s">
        <v>48</v>
      </c>
      <c r="D9" s="7" t="s">
        <v>14</v>
      </c>
      <c r="E9" s="7" t="s">
        <v>15</v>
      </c>
      <c r="F9" s="7" t="s">
        <v>49</v>
      </c>
      <c r="G9" s="7" t="s">
        <v>50</v>
      </c>
      <c r="H9" s="7"/>
      <c r="I9" s="7">
        <v>300</v>
      </c>
      <c r="J9" s="7"/>
      <c r="K9" s="7">
        <v>600</v>
      </c>
      <c r="L9" s="7" t="s">
        <v>31</v>
      </c>
      <c r="N9" s="5">
        <f t="shared" si="0"/>
        <v>18</v>
      </c>
      <c r="O9" s="5">
        <f t="shared" si="1"/>
        <v>18</v>
      </c>
    </row>
    <row r="10" spans="1:16" x14ac:dyDescent="0.35">
      <c r="A10" s="6">
        <v>45667</v>
      </c>
      <c r="B10" s="7" t="s">
        <v>51</v>
      </c>
      <c r="C10" s="7" t="s">
        <v>52</v>
      </c>
      <c r="D10" s="7" t="s">
        <v>34</v>
      </c>
      <c r="E10" s="7" t="s">
        <v>22</v>
      </c>
      <c r="F10" s="7" t="s">
        <v>53</v>
      </c>
      <c r="G10" s="7" t="s">
        <v>54</v>
      </c>
      <c r="H10" s="7">
        <v>10</v>
      </c>
      <c r="I10" s="7">
        <v>10</v>
      </c>
      <c r="J10" s="7">
        <v>100</v>
      </c>
      <c r="K10" s="7">
        <v>150</v>
      </c>
      <c r="L10" s="7" t="s">
        <v>18</v>
      </c>
      <c r="N10" s="5">
        <f t="shared" si="0"/>
        <v>17</v>
      </c>
      <c r="O10" s="5">
        <f t="shared" si="1"/>
        <v>17</v>
      </c>
    </row>
    <row r="11" spans="1:16" x14ac:dyDescent="0.35">
      <c r="A11" s="6">
        <v>45668</v>
      </c>
      <c r="B11" s="7" t="s">
        <v>55</v>
      </c>
      <c r="C11" s="7" t="s">
        <v>56</v>
      </c>
      <c r="D11" s="7" t="s">
        <v>21</v>
      </c>
      <c r="E11" s="7" t="s">
        <v>28</v>
      </c>
      <c r="F11" s="7" t="s">
        <v>29</v>
      </c>
      <c r="G11" s="7" t="s">
        <v>30</v>
      </c>
      <c r="H11" s="7"/>
      <c r="I11" s="7">
        <v>25</v>
      </c>
      <c r="J11" s="7"/>
      <c r="K11" s="7">
        <v>200</v>
      </c>
      <c r="L11" s="7" t="s">
        <v>31</v>
      </c>
      <c r="N11" s="5">
        <f t="shared" si="0"/>
        <v>16</v>
      </c>
      <c r="O11" s="5">
        <f t="shared" si="1"/>
        <v>16</v>
      </c>
    </row>
    <row r="12" spans="1:16" x14ac:dyDescent="0.35">
      <c r="A12" s="6">
        <v>45669</v>
      </c>
      <c r="B12" s="7" t="s">
        <v>57</v>
      </c>
      <c r="C12" s="7" t="s">
        <v>58</v>
      </c>
      <c r="D12" s="7" t="s">
        <v>27</v>
      </c>
      <c r="E12" s="7" t="s">
        <v>15</v>
      </c>
      <c r="F12" s="7" t="s">
        <v>35</v>
      </c>
      <c r="G12" s="7" t="s">
        <v>59</v>
      </c>
      <c r="H12" s="7">
        <v>2</v>
      </c>
      <c r="I12" s="7">
        <v>400</v>
      </c>
      <c r="J12" s="7">
        <v>800</v>
      </c>
      <c r="K12" s="7">
        <v>750</v>
      </c>
      <c r="L12" s="7" t="s">
        <v>18</v>
      </c>
      <c r="N12" s="5">
        <f t="shared" si="0"/>
        <v>15</v>
      </c>
      <c r="O12" s="5">
        <f t="shared" si="1"/>
        <v>15</v>
      </c>
    </row>
    <row r="13" spans="1:16" x14ac:dyDescent="0.35">
      <c r="A13" s="6">
        <v>45670</v>
      </c>
      <c r="B13" s="7" t="s">
        <v>60</v>
      </c>
      <c r="C13" s="7" t="s">
        <v>61</v>
      </c>
      <c r="D13" s="7" t="s">
        <v>14</v>
      </c>
      <c r="E13" s="7" t="s">
        <v>22</v>
      </c>
      <c r="F13" s="7" t="s">
        <v>39</v>
      </c>
      <c r="G13" s="7" t="s">
        <v>40</v>
      </c>
      <c r="H13" s="7"/>
      <c r="I13" s="7">
        <v>650</v>
      </c>
      <c r="J13" s="7"/>
      <c r="K13" s="7">
        <v>1400</v>
      </c>
      <c r="L13" s="7" t="s">
        <v>31</v>
      </c>
      <c r="N13" s="5">
        <f t="shared" si="0"/>
        <v>14</v>
      </c>
      <c r="O13" s="5">
        <f t="shared" si="1"/>
        <v>14</v>
      </c>
    </row>
    <row r="14" spans="1:16" x14ac:dyDescent="0.35">
      <c r="A14" s="6">
        <v>45671</v>
      </c>
      <c r="B14" s="7" t="s">
        <v>62</v>
      </c>
      <c r="C14" s="7" t="s">
        <v>63</v>
      </c>
      <c r="D14" s="7" t="s">
        <v>34</v>
      </c>
      <c r="E14" s="7" t="s">
        <v>15</v>
      </c>
      <c r="F14" s="7" t="s">
        <v>16</v>
      </c>
      <c r="G14" s="7" t="s">
        <v>64</v>
      </c>
      <c r="H14" s="7">
        <v>4</v>
      </c>
      <c r="I14" s="7">
        <v>200</v>
      </c>
      <c r="J14" s="7">
        <v>800</v>
      </c>
      <c r="K14" s="7">
        <v>900</v>
      </c>
      <c r="L14" s="7" t="s">
        <v>18</v>
      </c>
      <c r="N14" s="5">
        <f t="shared" si="0"/>
        <v>13</v>
      </c>
      <c r="O14" s="5">
        <f t="shared" si="1"/>
        <v>13</v>
      </c>
    </row>
    <row r="15" spans="1:16" x14ac:dyDescent="0.35">
      <c r="A15" s="6">
        <v>45672</v>
      </c>
      <c r="B15" s="7" t="s">
        <v>65</v>
      </c>
      <c r="C15" s="7" t="s">
        <v>66</v>
      </c>
      <c r="D15" s="7" t="s">
        <v>27</v>
      </c>
      <c r="E15" s="7" t="s">
        <v>22</v>
      </c>
      <c r="F15" s="7" t="s">
        <v>53</v>
      </c>
      <c r="G15" s="7" t="s">
        <v>67</v>
      </c>
      <c r="H15" s="7">
        <v>5</v>
      </c>
      <c r="I15" s="7">
        <v>25</v>
      </c>
      <c r="J15" s="7">
        <v>125</v>
      </c>
      <c r="K15" s="7">
        <v>150</v>
      </c>
      <c r="L15" s="7" t="s">
        <v>18</v>
      </c>
      <c r="N15" s="5">
        <f t="shared" si="0"/>
        <v>12</v>
      </c>
      <c r="O15" s="5">
        <f t="shared" si="1"/>
        <v>12</v>
      </c>
    </row>
    <row r="16" spans="1:16" x14ac:dyDescent="0.35">
      <c r="A16" s="6">
        <v>45673</v>
      </c>
      <c r="B16" s="7" t="s">
        <v>68</v>
      </c>
      <c r="C16" s="7" t="s">
        <v>69</v>
      </c>
      <c r="D16" s="7" t="s">
        <v>21</v>
      </c>
      <c r="E16" s="7" t="s">
        <v>15</v>
      </c>
      <c r="F16" s="7" t="s">
        <v>35</v>
      </c>
      <c r="G16" s="7" t="s">
        <v>70</v>
      </c>
      <c r="H16" s="7">
        <v>2</v>
      </c>
      <c r="I16" s="7">
        <v>300</v>
      </c>
      <c r="J16" s="7">
        <v>600</v>
      </c>
      <c r="K16" s="7">
        <v>500</v>
      </c>
      <c r="L16" s="7" t="s">
        <v>18</v>
      </c>
      <c r="N16" s="5">
        <f t="shared" si="0"/>
        <v>11</v>
      </c>
      <c r="O16" s="5">
        <f t="shared" si="1"/>
        <v>11</v>
      </c>
    </row>
    <row r="17" spans="1:15" x14ac:dyDescent="0.35">
      <c r="A17" s="6">
        <v>45674</v>
      </c>
      <c r="B17" s="7" t="s">
        <v>71</v>
      </c>
      <c r="C17" s="7" t="s">
        <v>72</v>
      </c>
      <c r="D17" s="7" t="s">
        <v>14</v>
      </c>
      <c r="E17" s="7" t="s">
        <v>28</v>
      </c>
      <c r="F17" s="7" t="s">
        <v>29</v>
      </c>
      <c r="G17" s="7" t="s">
        <v>73</v>
      </c>
      <c r="H17" s="7"/>
      <c r="I17" s="7">
        <v>30</v>
      </c>
      <c r="J17" s="7"/>
      <c r="K17" s="7">
        <v>250</v>
      </c>
      <c r="L17" s="7" t="s">
        <v>31</v>
      </c>
      <c r="N17" s="5">
        <f t="shared" si="0"/>
        <v>10</v>
      </c>
      <c r="O17" s="5">
        <f t="shared" si="1"/>
        <v>10</v>
      </c>
    </row>
    <row r="18" spans="1:15" x14ac:dyDescent="0.35">
      <c r="A18" s="6">
        <v>45675</v>
      </c>
      <c r="B18" s="7" t="s">
        <v>74</v>
      </c>
      <c r="C18" s="7" t="s">
        <v>75</v>
      </c>
      <c r="D18" s="7" t="s">
        <v>34</v>
      </c>
      <c r="E18" s="7" t="s">
        <v>22</v>
      </c>
      <c r="F18" s="7" t="s">
        <v>23</v>
      </c>
      <c r="G18" s="7" t="s">
        <v>24</v>
      </c>
      <c r="H18" s="7">
        <v>1</v>
      </c>
      <c r="I18" s="7">
        <v>230</v>
      </c>
      <c r="J18" s="7">
        <v>230</v>
      </c>
      <c r="K18" s="7">
        <v>250</v>
      </c>
      <c r="L18" s="7" t="s">
        <v>18</v>
      </c>
      <c r="N18" s="5">
        <f t="shared" si="0"/>
        <v>9</v>
      </c>
      <c r="O18" s="5">
        <f t="shared" si="1"/>
        <v>9</v>
      </c>
    </row>
    <row r="19" spans="1:15" x14ac:dyDescent="0.35">
      <c r="A19" s="6">
        <v>45676</v>
      </c>
      <c r="B19" s="7" t="s">
        <v>76</v>
      </c>
      <c r="C19" s="7" t="s">
        <v>77</v>
      </c>
      <c r="D19" s="7" t="s">
        <v>27</v>
      </c>
      <c r="E19" s="7" t="s">
        <v>28</v>
      </c>
      <c r="F19" s="7" t="s">
        <v>78</v>
      </c>
      <c r="G19" s="7" t="s">
        <v>79</v>
      </c>
      <c r="H19" s="7">
        <v>6</v>
      </c>
      <c r="I19" s="7">
        <v>20</v>
      </c>
      <c r="J19" s="7">
        <v>120</v>
      </c>
      <c r="K19" s="7">
        <v>150</v>
      </c>
      <c r="L19" s="7" t="s">
        <v>18</v>
      </c>
      <c r="N19" s="5">
        <f t="shared" si="0"/>
        <v>8</v>
      </c>
      <c r="O19" s="5">
        <f t="shared" si="1"/>
        <v>8</v>
      </c>
    </row>
    <row r="20" spans="1:15" x14ac:dyDescent="0.35">
      <c r="A20" s="6">
        <v>45677</v>
      </c>
      <c r="B20" s="7" t="s">
        <v>80</v>
      </c>
      <c r="C20" s="7" t="s">
        <v>81</v>
      </c>
      <c r="D20" s="7" t="s">
        <v>14</v>
      </c>
      <c r="E20" s="7" t="s">
        <v>15</v>
      </c>
      <c r="F20" s="7" t="s">
        <v>49</v>
      </c>
      <c r="G20" s="7" t="s">
        <v>82</v>
      </c>
      <c r="H20" s="7">
        <v>3</v>
      </c>
      <c r="I20" s="7">
        <v>320</v>
      </c>
      <c r="J20" s="7">
        <v>960</v>
      </c>
      <c r="K20" s="7">
        <v>1000</v>
      </c>
      <c r="L20" s="7" t="s">
        <v>18</v>
      </c>
      <c r="N20" s="5">
        <f t="shared" si="0"/>
        <v>7</v>
      </c>
      <c r="O20" s="5">
        <f t="shared" si="1"/>
        <v>7</v>
      </c>
    </row>
    <row r="21" spans="1:15" x14ac:dyDescent="0.35">
      <c r="A21" s="6">
        <v>45678</v>
      </c>
      <c r="B21" s="7" t="s">
        <v>83</v>
      </c>
      <c r="C21" s="7" t="s">
        <v>84</v>
      </c>
      <c r="D21" s="7" t="s">
        <v>21</v>
      </c>
      <c r="E21" s="7" t="s">
        <v>22</v>
      </c>
      <c r="F21" s="7" t="s">
        <v>53</v>
      </c>
      <c r="G21" s="7" t="s">
        <v>85</v>
      </c>
      <c r="H21" s="7"/>
      <c r="I21" s="7">
        <v>35</v>
      </c>
      <c r="J21" s="7"/>
      <c r="K21" s="7">
        <v>175</v>
      </c>
      <c r="L21" s="7" t="s">
        <v>31</v>
      </c>
      <c r="N21" s="5">
        <f t="shared" si="0"/>
        <v>6</v>
      </c>
      <c r="O21" s="5">
        <f t="shared" si="1"/>
        <v>6</v>
      </c>
    </row>
    <row r="22" spans="1:15" x14ac:dyDescent="0.35">
      <c r="A22" s="6">
        <v>45679</v>
      </c>
      <c r="B22" s="7" t="s">
        <v>86</v>
      </c>
      <c r="C22" s="7" t="s">
        <v>87</v>
      </c>
      <c r="D22" s="7" t="s">
        <v>27</v>
      </c>
      <c r="E22" s="7" t="s">
        <v>15</v>
      </c>
      <c r="F22" s="7" t="s">
        <v>16</v>
      </c>
      <c r="G22" s="7" t="s">
        <v>88</v>
      </c>
      <c r="H22" s="7">
        <v>5</v>
      </c>
      <c r="I22" s="7">
        <v>100</v>
      </c>
      <c r="J22" s="7">
        <v>500</v>
      </c>
      <c r="K22" s="7">
        <v>600</v>
      </c>
      <c r="L22" s="7" t="s">
        <v>18</v>
      </c>
      <c r="N22" s="5">
        <f t="shared" si="0"/>
        <v>5</v>
      </c>
      <c r="O22" s="5">
        <f t="shared" si="1"/>
        <v>5</v>
      </c>
    </row>
    <row r="23" spans="1:15" x14ac:dyDescent="0.35">
      <c r="A23" s="6">
        <v>45680</v>
      </c>
      <c r="B23" s="7" t="s">
        <v>89</v>
      </c>
      <c r="C23" s="7" t="s">
        <v>90</v>
      </c>
      <c r="D23" s="7" t="s">
        <v>34</v>
      </c>
      <c r="E23" s="7" t="s">
        <v>22</v>
      </c>
      <c r="F23" s="7" t="s">
        <v>23</v>
      </c>
      <c r="G23" s="7" t="s">
        <v>24</v>
      </c>
      <c r="H23" s="7">
        <v>3</v>
      </c>
      <c r="I23" s="7">
        <v>210</v>
      </c>
      <c r="J23" s="7">
        <v>630</v>
      </c>
      <c r="K23" s="7">
        <v>700</v>
      </c>
      <c r="L23" s="7" t="s">
        <v>18</v>
      </c>
      <c r="N23" s="5">
        <f t="shared" si="0"/>
        <v>4</v>
      </c>
      <c r="O23" s="5">
        <f t="shared" si="1"/>
        <v>4</v>
      </c>
    </row>
    <row r="24" spans="1:15" x14ac:dyDescent="0.35">
      <c r="A24" s="6">
        <v>45681</v>
      </c>
      <c r="B24" s="7" t="s">
        <v>91</v>
      </c>
      <c r="C24" s="7" t="s">
        <v>92</v>
      </c>
      <c r="D24" s="7" t="s">
        <v>14</v>
      </c>
      <c r="E24" s="7" t="s">
        <v>28</v>
      </c>
      <c r="F24" s="7" t="s">
        <v>93</v>
      </c>
      <c r="G24" s="7" t="s">
        <v>94</v>
      </c>
      <c r="H24" s="7"/>
      <c r="I24" s="7">
        <v>45</v>
      </c>
      <c r="J24" s="7"/>
      <c r="K24" s="7">
        <v>250</v>
      </c>
      <c r="L24" s="7" t="s">
        <v>31</v>
      </c>
      <c r="N24" s="5">
        <f t="shared" si="0"/>
        <v>3</v>
      </c>
      <c r="O24" s="5">
        <f t="shared" si="1"/>
        <v>3</v>
      </c>
    </row>
    <row r="25" spans="1:15" x14ac:dyDescent="0.35">
      <c r="A25" s="6">
        <v>45682</v>
      </c>
      <c r="B25" s="7" t="s">
        <v>95</v>
      </c>
      <c r="C25" s="7" t="s">
        <v>96</v>
      </c>
      <c r="D25" s="7" t="s">
        <v>21</v>
      </c>
      <c r="E25" s="7" t="s">
        <v>15</v>
      </c>
      <c r="F25" s="7" t="s">
        <v>35</v>
      </c>
      <c r="G25" s="7" t="s">
        <v>97</v>
      </c>
      <c r="H25" s="7">
        <v>2</v>
      </c>
      <c r="I25" s="7">
        <v>350</v>
      </c>
      <c r="J25" s="7">
        <v>700</v>
      </c>
      <c r="K25" s="7">
        <v>800</v>
      </c>
      <c r="L25" s="7" t="s">
        <v>18</v>
      </c>
      <c r="N25" s="5">
        <f t="shared" si="0"/>
        <v>2</v>
      </c>
      <c r="O25" s="5">
        <f t="shared" si="1"/>
        <v>2</v>
      </c>
    </row>
    <row r="26" spans="1:15" x14ac:dyDescent="0.35">
      <c r="A26" s="6">
        <v>45683</v>
      </c>
      <c r="B26" s="7" t="s">
        <v>98</v>
      </c>
      <c r="C26" s="7" t="s">
        <v>99</v>
      </c>
      <c r="D26" s="7" t="s">
        <v>27</v>
      </c>
      <c r="E26" s="7" t="s">
        <v>22</v>
      </c>
      <c r="F26" s="7" t="s">
        <v>39</v>
      </c>
      <c r="G26" s="7" t="s">
        <v>100</v>
      </c>
      <c r="H26" s="7">
        <v>1</v>
      </c>
      <c r="I26" s="7">
        <v>900</v>
      </c>
      <c r="J26" s="7">
        <v>900</v>
      </c>
      <c r="K26" s="7">
        <v>950</v>
      </c>
      <c r="L26" s="7" t="s">
        <v>18</v>
      </c>
      <c r="N26" s="5">
        <f t="shared" si="0"/>
        <v>1</v>
      </c>
      <c r="O26" s="5">
        <f t="shared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B4" sqref="B4"/>
    </sheetView>
  </sheetViews>
  <sheetFormatPr defaultRowHeight="15.5" x14ac:dyDescent="0.35"/>
  <cols>
    <col min="1" max="1" width="11.6328125" style="5" bestFit="1" customWidth="1"/>
    <col min="2" max="2" width="9.6328125" style="5" bestFit="1" customWidth="1"/>
    <col min="3" max="3" width="15.90625" style="5" bestFit="1" customWidth="1"/>
    <col min="4" max="4" width="7.36328125" style="5" bestFit="1" customWidth="1"/>
    <col min="5" max="5" width="14.26953125" style="5" bestFit="1" customWidth="1"/>
    <col min="6" max="6" width="13.81640625" style="5" bestFit="1" customWidth="1"/>
    <col min="7" max="7" width="16.54296875" style="5" bestFit="1" customWidth="1"/>
    <col min="8" max="8" width="9.1796875" style="5" bestFit="1" customWidth="1"/>
    <col min="9" max="9" width="10.453125" style="5" bestFit="1" customWidth="1"/>
    <col min="10" max="10" width="5.54296875" style="5" bestFit="1" customWidth="1"/>
    <col min="11" max="11" width="7.08984375" style="5" bestFit="1" customWidth="1"/>
    <col min="12" max="12" width="13.08984375" style="5" bestFit="1" customWidth="1"/>
    <col min="13" max="13" width="8.7265625" style="5"/>
    <col min="14" max="15" width="8.81640625" style="5" bestFit="1" customWidth="1"/>
    <col min="16" max="16384" width="8.7265625" style="5"/>
  </cols>
  <sheetData>
    <row r="1" spans="1: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N1" s="4" t="s">
        <v>109</v>
      </c>
      <c r="O1" s="4" t="s">
        <v>110</v>
      </c>
    </row>
    <row r="2" spans="1:15" x14ac:dyDescent="0.35">
      <c r="A2" s="6">
        <v>45659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>
        <v>2</v>
      </c>
      <c r="I2" s="7">
        <v>120</v>
      </c>
      <c r="J2" s="7">
        <v>240</v>
      </c>
      <c r="K2" s="7">
        <v>300</v>
      </c>
      <c r="L2" s="7" t="s">
        <v>18</v>
      </c>
      <c r="N2" s="5">
        <f>MIN(J2:J26)</f>
        <v>100</v>
      </c>
      <c r="O2" s="5">
        <f>MAX(J2:J26)</f>
        <v>1300</v>
      </c>
    </row>
    <row r="3" spans="1:15" x14ac:dyDescent="0.35">
      <c r="A3" s="6">
        <v>45660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3</v>
      </c>
      <c r="I3" s="7">
        <v>220</v>
      </c>
      <c r="J3" s="7">
        <v>660</v>
      </c>
      <c r="K3" s="7">
        <v>700</v>
      </c>
      <c r="L3" s="7" t="s">
        <v>18</v>
      </c>
      <c r="N3" s="5">
        <f t="shared" ref="N3:N26" si="0">MIN(J3:J27)</f>
        <v>100</v>
      </c>
      <c r="O3" s="5">
        <f t="shared" ref="O3:O26" si="1">MAX(J3:J27)</f>
        <v>1300</v>
      </c>
    </row>
    <row r="4" spans="1:15" x14ac:dyDescent="0.35">
      <c r="A4" s="6">
        <v>45661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5</v>
      </c>
      <c r="I4" s="7">
        <v>25</v>
      </c>
      <c r="J4" s="7">
        <v>125</v>
      </c>
      <c r="K4" s="7">
        <v>200</v>
      </c>
      <c r="L4" s="7" t="s">
        <v>31</v>
      </c>
      <c r="N4" s="5">
        <f t="shared" si="0"/>
        <v>100</v>
      </c>
      <c r="O4" s="5">
        <f t="shared" si="1"/>
        <v>1300</v>
      </c>
    </row>
    <row r="5" spans="1:15" x14ac:dyDescent="0.35">
      <c r="A5" s="6">
        <v>45662</v>
      </c>
      <c r="B5" s="7" t="s">
        <v>32</v>
      </c>
      <c r="C5" s="7" t="s">
        <v>33</v>
      </c>
      <c r="D5" s="7" t="s">
        <v>34</v>
      </c>
      <c r="E5" s="7" t="s">
        <v>15</v>
      </c>
      <c r="F5" s="7" t="s">
        <v>35</v>
      </c>
      <c r="G5" s="7" t="s">
        <v>36</v>
      </c>
      <c r="H5" s="7">
        <v>1</v>
      </c>
      <c r="I5" s="7">
        <v>450</v>
      </c>
      <c r="J5" s="7">
        <v>450</v>
      </c>
      <c r="K5" s="7">
        <v>500</v>
      </c>
      <c r="L5" s="7" t="s">
        <v>18</v>
      </c>
      <c r="N5" s="5">
        <f t="shared" si="0"/>
        <v>100</v>
      </c>
      <c r="O5" s="5">
        <f t="shared" si="1"/>
        <v>1300</v>
      </c>
    </row>
    <row r="6" spans="1:15" x14ac:dyDescent="0.35">
      <c r="A6" s="6">
        <v>45663</v>
      </c>
      <c r="B6" s="7" t="s">
        <v>37</v>
      </c>
      <c r="C6" s="7" t="s">
        <v>38</v>
      </c>
      <c r="D6" s="7" t="s">
        <v>14</v>
      </c>
      <c r="E6" s="7" t="s">
        <v>22</v>
      </c>
      <c r="F6" s="7" t="s">
        <v>39</v>
      </c>
      <c r="G6" s="7" t="s">
        <v>40</v>
      </c>
      <c r="H6" s="7">
        <v>2</v>
      </c>
      <c r="I6" s="7">
        <v>650</v>
      </c>
      <c r="J6" s="7">
        <v>1300</v>
      </c>
      <c r="K6" s="7">
        <v>1400</v>
      </c>
      <c r="L6" s="7" t="s">
        <v>18</v>
      </c>
      <c r="N6" s="5">
        <f t="shared" si="0"/>
        <v>100</v>
      </c>
      <c r="O6" s="5">
        <f t="shared" si="1"/>
        <v>1300</v>
      </c>
    </row>
    <row r="7" spans="1:15" x14ac:dyDescent="0.35">
      <c r="A7" s="6">
        <v>45664</v>
      </c>
      <c r="B7" s="7" t="s">
        <v>41</v>
      </c>
      <c r="C7" s="7" t="s">
        <v>42</v>
      </c>
      <c r="D7" s="7" t="s">
        <v>21</v>
      </c>
      <c r="E7" s="7" t="s">
        <v>15</v>
      </c>
      <c r="F7" s="7" t="s">
        <v>16</v>
      </c>
      <c r="G7" s="7" t="s">
        <v>17</v>
      </c>
      <c r="H7" s="7">
        <v>3</v>
      </c>
      <c r="I7" s="7">
        <v>115</v>
      </c>
      <c r="J7" s="7">
        <v>345</v>
      </c>
      <c r="K7" s="7">
        <v>350</v>
      </c>
      <c r="L7" s="7" t="s">
        <v>18</v>
      </c>
      <c r="N7" s="5">
        <f t="shared" si="0"/>
        <v>100</v>
      </c>
      <c r="O7" s="5">
        <f t="shared" si="1"/>
        <v>960</v>
      </c>
    </row>
    <row r="8" spans="1:15" x14ac:dyDescent="0.35">
      <c r="A8" s="6">
        <v>45665</v>
      </c>
      <c r="B8" s="7" t="s">
        <v>43</v>
      </c>
      <c r="C8" s="7" t="s">
        <v>44</v>
      </c>
      <c r="D8" s="7" t="s">
        <v>27</v>
      </c>
      <c r="E8" s="7" t="s">
        <v>28</v>
      </c>
      <c r="F8" s="7" t="s">
        <v>45</v>
      </c>
      <c r="G8" s="7" t="s">
        <v>46</v>
      </c>
      <c r="H8" s="7">
        <v>8</v>
      </c>
      <c r="I8" s="7">
        <v>15</v>
      </c>
      <c r="J8" s="7">
        <v>120</v>
      </c>
      <c r="K8" s="7">
        <v>150</v>
      </c>
      <c r="L8" s="7" t="s">
        <v>18</v>
      </c>
      <c r="N8" s="5">
        <f t="shared" si="0"/>
        <v>100</v>
      </c>
      <c r="O8" s="5">
        <f t="shared" si="1"/>
        <v>960</v>
      </c>
    </row>
    <row r="9" spans="1:15" x14ac:dyDescent="0.35">
      <c r="A9" s="6">
        <v>45666</v>
      </c>
      <c r="B9" s="7" t="s">
        <v>47</v>
      </c>
      <c r="C9" s="7" t="s">
        <v>48</v>
      </c>
      <c r="D9" s="7" t="s">
        <v>14</v>
      </c>
      <c r="E9" s="7" t="s">
        <v>15</v>
      </c>
      <c r="F9" s="7" t="s">
        <v>49</v>
      </c>
      <c r="G9" s="7" t="s">
        <v>50</v>
      </c>
      <c r="H9" s="7"/>
      <c r="I9" s="7">
        <v>300</v>
      </c>
      <c r="J9" s="7"/>
      <c r="K9" s="7">
        <v>600</v>
      </c>
      <c r="L9" s="7" t="s">
        <v>31</v>
      </c>
      <c r="N9" s="5">
        <f t="shared" si="0"/>
        <v>100</v>
      </c>
      <c r="O9" s="5">
        <f t="shared" si="1"/>
        <v>960</v>
      </c>
    </row>
    <row r="10" spans="1:15" x14ac:dyDescent="0.35">
      <c r="A10" s="6">
        <v>45667</v>
      </c>
      <c r="B10" s="7" t="s">
        <v>51</v>
      </c>
      <c r="C10" s="7" t="s">
        <v>52</v>
      </c>
      <c r="D10" s="7" t="s">
        <v>34</v>
      </c>
      <c r="E10" s="7" t="s">
        <v>22</v>
      </c>
      <c r="F10" s="7" t="s">
        <v>53</v>
      </c>
      <c r="G10" s="7" t="s">
        <v>54</v>
      </c>
      <c r="H10" s="7">
        <v>10</v>
      </c>
      <c r="I10" s="7">
        <v>10</v>
      </c>
      <c r="J10" s="7">
        <v>100</v>
      </c>
      <c r="K10" s="7">
        <v>150</v>
      </c>
      <c r="L10" s="7" t="s">
        <v>18</v>
      </c>
      <c r="N10" s="5">
        <f t="shared" si="0"/>
        <v>100</v>
      </c>
      <c r="O10" s="5">
        <f t="shared" si="1"/>
        <v>960</v>
      </c>
    </row>
    <row r="11" spans="1:15" x14ac:dyDescent="0.35">
      <c r="A11" s="6">
        <v>45668</v>
      </c>
      <c r="B11" s="7" t="s">
        <v>55</v>
      </c>
      <c r="C11" s="7" t="s">
        <v>56</v>
      </c>
      <c r="D11" s="7" t="s">
        <v>21</v>
      </c>
      <c r="E11" s="7" t="s">
        <v>28</v>
      </c>
      <c r="F11" s="7" t="s">
        <v>29</v>
      </c>
      <c r="G11" s="7" t="s">
        <v>30</v>
      </c>
      <c r="H11" s="7"/>
      <c r="I11" s="7">
        <v>25</v>
      </c>
      <c r="J11" s="7"/>
      <c r="K11" s="7">
        <v>200</v>
      </c>
      <c r="L11" s="7" t="s">
        <v>31</v>
      </c>
      <c r="N11" s="5">
        <f t="shared" si="0"/>
        <v>120</v>
      </c>
      <c r="O11" s="5">
        <f t="shared" si="1"/>
        <v>960</v>
      </c>
    </row>
    <row r="12" spans="1:15" x14ac:dyDescent="0.35">
      <c r="A12" s="6">
        <v>45669</v>
      </c>
      <c r="B12" s="7" t="s">
        <v>57</v>
      </c>
      <c r="C12" s="7" t="s">
        <v>58</v>
      </c>
      <c r="D12" s="7" t="s">
        <v>27</v>
      </c>
      <c r="E12" s="7" t="s">
        <v>15</v>
      </c>
      <c r="F12" s="7" t="s">
        <v>35</v>
      </c>
      <c r="G12" s="7" t="s">
        <v>59</v>
      </c>
      <c r="H12" s="7">
        <v>2</v>
      </c>
      <c r="I12" s="7">
        <v>400</v>
      </c>
      <c r="J12" s="7">
        <v>800</v>
      </c>
      <c r="K12" s="7">
        <v>750</v>
      </c>
      <c r="L12" s="7" t="s">
        <v>18</v>
      </c>
      <c r="N12" s="5">
        <f t="shared" si="0"/>
        <v>120</v>
      </c>
      <c r="O12" s="5">
        <f t="shared" si="1"/>
        <v>960</v>
      </c>
    </row>
    <row r="13" spans="1:15" x14ac:dyDescent="0.35">
      <c r="A13" s="6">
        <v>45670</v>
      </c>
      <c r="B13" s="7" t="s">
        <v>60</v>
      </c>
      <c r="C13" s="7" t="s">
        <v>61</v>
      </c>
      <c r="D13" s="7" t="s">
        <v>14</v>
      </c>
      <c r="E13" s="7" t="s">
        <v>22</v>
      </c>
      <c r="F13" s="7" t="s">
        <v>39</v>
      </c>
      <c r="G13" s="7" t="s">
        <v>40</v>
      </c>
      <c r="H13" s="7"/>
      <c r="I13" s="7">
        <v>650</v>
      </c>
      <c r="J13" s="7"/>
      <c r="K13" s="7">
        <v>1400</v>
      </c>
      <c r="L13" s="7" t="s">
        <v>31</v>
      </c>
      <c r="N13" s="5">
        <f t="shared" si="0"/>
        <v>120</v>
      </c>
      <c r="O13" s="5">
        <f t="shared" si="1"/>
        <v>960</v>
      </c>
    </row>
    <row r="14" spans="1:15" x14ac:dyDescent="0.35">
      <c r="A14" s="6">
        <v>45671</v>
      </c>
      <c r="B14" s="7" t="s">
        <v>62</v>
      </c>
      <c r="C14" s="7" t="s">
        <v>63</v>
      </c>
      <c r="D14" s="7" t="s">
        <v>34</v>
      </c>
      <c r="E14" s="7" t="s">
        <v>15</v>
      </c>
      <c r="F14" s="7" t="s">
        <v>16</v>
      </c>
      <c r="G14" s="7" t="s">
        <v>64</v>
      </c>
      <c r="H14" s="7">
        <v>4</v>
      </c>
      <c r="I14" s="7">
        <v>200</v>
      </c>
      <c r="J14" s="7">
        <v>800</v>
      </c>
      <c r="K14" s="7">
        <v>900</v>
      </c>
      <c r="L14" s="7" t="s">
        <v>18</v>
      </c>
      <c r="N14" s="5">
        <f t="shared" si="0"/>
        <v>120</v>
      </c>
      <c r="O14" s="5">
        <f t="shared" si="1"/>
        <v>960</v>
      </c>
    </row>
    <row r="15" spans="1:15" x14ac:dyDescent="0.35">
      <c r="A15" s="6">
        <v>45672</v>
      </c>
      <c r="B15" s="7" t="s">
        <v>65</v>
      </c>
      <c r="C15" s="7" t="s">
        <v>66</v>
      </c>
      <c r="D15" s="7" t="s">
        <v>27</v>
      </c>
      <c r="E15" s="7" t="s">
        <v>22</v>
      </c>
      <c r="F15" s="7" t="s">
        <v>53</v>
      </c>
      <c r="G15" s="7" t="s">
        <v>67</v>
      </c>
      <c r="H15" s="7">
        <v>5</v>
      </c>
      <c r="I15" s="7">
        <v>25</v>
      </c>
      <c r="J15" s="7">
        <v>125</v>
      </c>
      <c r="K15" s="7">
        <v>150</v>
      </c>
      <c r="L15" s="7" t="s">
        <v>18</v>
      </c>
      <c r="N15" s="5">
        <f t="shared" si="0"/>
        <v>120</v>
      </c>
      <c r="O15" s="5">
        <f t="shared" si="1"/>
        <v>960</v>
      </c>
    </row>
    <row r="16" spans="1:15" x14ac:dyDescent="0.35">
      <c r="A16" s="6">
        <v>45673</v>
      </c>
      <c r="B16" s="7" t="s">
        <v>68</v>
      </c>
      <c r="C16" s="7" t="s">
        <v>69</v>
      </c>
      <c r="D16" s="7" t="s">
        <v>21</v>
      </c>
      <c r="E16" s="7" t="s">
        <v>15</v>
      </c>
      <c r="F16" s="7" t="s">
        <v>35</v>
      </c>
      <c r="G16" s="7" t="s">
        <v>70</v>
      </c>
      <c r="H16" s="7">
        <v>2</v>
      </c>
      <c r="I16" s="7">
        <v>300</v>
      </c>
      <c r="J16" s="7">
        <v>600</v>
      </c>
      <c r="K16" s="7">
        <v>500</v>
      </c>
      <c r="L16" s="7" t="s">
        <v>18</v>
      </c>
      <c r="N16" s="5">
        <f t="shared" si="0"/>
        <v>120</v>
      </c>
      <c r="O16" s="5">
        <f t="shared" si="1"/>
        <v>960</v>
      </c>
    </row>
    <row r="17" spans="1:15" x14ac:dyDescent="0.35">
      <c r="A17" s="6">
        <v>45674</v>
      </c>
      <c r="B17" s="7" t="s">
        <v>71</v>
      </c>
      <c r="C17" s="7" t="s">
        <v>72</v>
      </c>
      <c r="D17" s="7" t="s">
        <v>14</v>
      </c>
      <c r="E17" s="7" t="s">
        <v>28</v>
      </c>
      <c r="F17" s="7" t="s">
        <v>29</v>
      </c>
      <c r="G17" s="7" t="s">
        <v>73</v>
      </c>
      <c r="H17" s="7"/>
      <c r="I17" s="7">
        <v>30</v>
      </c>
      <c r="J17" s="7"/>
      <c r="K17" s="7">
        <v>250</v>
      </c>
      <c r="L17" s="7" t="s">
        <v>31</v>
      </c>
      <c r="N17" s="5">
        <f t="shared" si="0"/>
        <v>120</v>
      </c>
      <c r="O17" s="5">
        <f t="shared" si="1"/>
        <v>960</v>
      </c>
    </row>
    <row r="18" spans="1:15" x14ac:dyDescent="0.35">
      <c r="A18" s="6">
        <v>45675</v>
      </c>
      <c r="B18" s="7" t="s">
        <v>74</v>
      </c>
      <c r="C18" s="7" t="s">
        <v>75</v>
      </c>
      <c r="D18" s="7" t="s">
        <v>34</v>
      </c>
      <c r="E18" s="7" t="s">
        <v>22</v>
      </c>
      <c r="F18" s="7" t="s">
        <v>23</v>
      </c>
      <c r="G18" s="7" t="s">
        <v>24</v>
      </c>
      <c r="H18" s="7">
        <v>1</v>
      </c>
      <c r="I18" s="7">
        <v>230</v>
      </c>
      <c r="J18" s="7">
        <v>230</v>
      </c>
      <c r="K18" s="7">
        <v>250</v>
      </c>
      <c r="L18" s="7" t="s">
        <v>18</v>
      </c>
      <c r="N18" s="5">
        <f t="shared" si="0"/>
        <v>120</v>
      </c>
      <c r="O18" s="5">
        <f t="shared" si="1"/>
        <v>960</v>
      </c>
    </row>
    <row r="19" spans="1:15" x14ac:dyDescent="0.35">
      <c r="A19" s="6">
        <v>45676</v>
      </c>
      <c r="B19" s="7" t="s">
        <v>76</v>
      </c>
      <c r="C19" s="7" t="s">
        <v>77</v>
      </c>
      <c r="D19" s="7" t="s">
        <v>27</v>
      </c>
      <c r="E19" s="7" t="s">
        <v>28</v>
      </c>
      <c r="F19" s="7" t="s">
        <v>78</v>
      </c>
      <c r="G19" s="7" t="s">
        <v>79</v>
      </c>
      <c r="H19" s="7">
        <v>6</v>
      </c>
      <c r="I19" s="7">
        <v>20</v>
      </c>
      <c r="J19" s="7">
        <v>120</v>
      </c>
      <c r="K19" s="7">
        <v>150</v>
      </c>
      <c r="L19" s="7" t="s">
        <v>18</v>
      </c>
      <c r="N19" s="5">
        <f t="shared" si="0"/>
        <v>120</v>
      </c>
      <c r="O19" s="5">
        <f t="shared" si="1"/>
        <v>960</v>
      </c>
    </row>
    <row r="20" spans="1:15" x14ac:dyDescent="0.35">
      <c r="A20" s="6">
        <v>45677</v>
      </c>
      <c r="B20" s="7" t="s">
        <v>80</v>
      </c>
      <c r="C20" s="7" t="s">
        <v>81</v>
      </c>
      <c r="D20" s="7" t="s">
        <v>14</v>
      </c>
      <c r="E20" s="7" t="s">
        <v>15</v>
      </c>
      <c r="F20" s="7" t="s">
        <v>49</v>
      </c>
      <c r="G20" s="7" t="s">
        <v>82</v>
      </c>
      <c r="H20" s="7">
        <v>3</v>
      </c>
      <c r="I20" s="7">
        <v>320</v>
      </c>
      <c r="J20" s="7">
        <v>960</v>
      </c>
      <c r="K20" s="7">
        <v>1000</v>
      </c>
      <c r="L20" s="7" t="s">
        <v>18</v>
      </c>
      <c r="N20" s="5">
        <f t="shared" si="0"/>
        <v>500</v>
      </c>
      <c r="O20" s="5">
        <f t="shared" si="1"/>
        <v>960</v>
      </c>
    </row>
    <row r="21" spans="1:15" x14ac:dyDescent="0.35">
      <c r="A21" s="6">
        <v>45678</v>
      </c>
      <c r="B21" s="7" t="s">
        <v>83</v>
      </c>
      <c r="C21" s="7" t="s">
        <v>84</v>
      </c>
      <c r="D21" s="7" t="s">
        <v>21</v>
      </c>
      <c r="E21" s="7" t="s">
        <v>22</v>
      </c>
      <c r="F21" s="7" t="s">
        <v>53</v>
      </c>
      <c r="G21" s="7" t="s">
        <v>85</v>
      </c>
      <c r="H21" s="7"/>
      <c r="I21" s="7">
        <v>35</v>
      </c>
      <c r="J21" s="7"/>
      <c r="K21" s="7">
        <v>175</v>
      </c>
      <c r="L21" s="7" t="s">
        <v>31</v>
      </c>
      <c r="N21" s="5">
        <f t="shared" si="0"/>
        <v>500</v>
      </c>
      <c r="O21" s="5">
        <f t="shared" si="1"/>
        <v>900</v>
      </c>
    </row>
    <row r="22" spans="1:15" x14ac:dyDescent="0.35">
      <c r="A22" s="6">
        <v>45679</v>
      </c>
      <c r="B22" s="7" t="s">
        <v>86</v>
      </c>
      <c r="C22" s="7" t="s">
        <v>87</v>
      </c>
      <c r="D22" s="7" t="s">
        <v>27</v>
      </c>
      <c r="E22" s="7" t="s">
        <v>15</v>
      </c>
      <c r="F22" s="7" t="s">
        <v>16</v>
      </c>
      <c r="G22" s="7" t="s">
        <v>88</v>
      </c>
      <c r="H22" s="7">
        <v>5</v>
      </c>
      <c r="I22" s="7">
        <v>100</v>
      </c>
      <c r="J22" s="7">
        <v>500</v>
      </c>
      <c r="K22" s="7">
        <v>600</v>
      </c>
      <c r="L22" s="7" t="s">
        <v>18</v>
      </c>
      <c r="N22" s="5">
        <f t="shared" si="0"/>
        <v>500</v>
      </c>
      <c r="O22" s="5">
        <f t="shared" si="1"/>
        <v>900</v>
      </c>
    </row>
    <row r="23" spans="1:15" x14ac:dyDescent="0.35">
      <c r="A23" s="6">
        <v>45680</v>
      </c>
      <c r="B23" s="7" t="s">
        <v>89</v>
      </c>
      <c r="C23" s="7" t="s">
        <v>90</v>
      </c>
      <c r="D23" s="7" t="s">
        <v>34</v>
      </c>
      <c r="E23" s="7" t="s">
        <v>22</v>
      </c>
      <c r="F23" s="7" t="s">
        <v>23</v>
      </c>
      <c r="G23" s="7" t="s">
        <v>24</v>
      </c>
      <c r="H23" s="7">
        <v>3</v>
      </c>
      <c r="I23" s="7">
        <v>210</v>
      </c>
      <c r="J23" s="7">
        <v>630</v>
      </c>
      <c r="K23" s="7">
        <v>700</v>
      </c>
      <c r="L23" s="7" t="s">
        <v>18</v>
      </c>
      <c r="N23" s="5">
        <f t="shared" si="0"/>
        <v>630</v>
      </c>
      <c r="O23" s="5">
        <f t="shared" si="1"/>
        <v>900</v>
      </c>
    </row>
    <row r="24" spans="1:15" x14ac:dyDescent="0.35">
      <c r="A24" s="6">
        <v>45681</v>
      </c>
      <c r="B24" s="7" t="s">
        <v>91</v>
      </c>
      <c r="C24" s="7" t="s">
        <v>92</v>
      </c>
      <c r="D24" s="7" t="s">
        <v>14</v>
      </c>
      <c r="E24" s="7" t="s">
        <v>28</v>
      </c>
      <c r="F24" s="7" t="s">
        <v>93</v>
      </c>
      <c r="G24" s="7" t="s">
        <v>94</v>
      </c>
      <c r="H24" s="7"/>
      <c r="I24" s="7">
        <v>45</v>
      </c>
      <c r="J24" s="7"/>
      <c r="K24" s="7">
        <v>250</v>
      </c>
      <c r="L24" s="7" t="s">
        <v>31</v>
      </c>
      <c r="N24" s="5">
        <f t="shared" si="0"/>
        <v>700</v>
      </c>
      <c r="O24" s="5">
        <f t="shared" si="1"/>
        <v>900</v>
      </c>
    </row>
    <row r="25" spans="1:15" x14ac:dyDescent="0.35">
      <c r="A25" s="6">
        <v>45682</v>
      </c>
      <c r="B25" s="7" t="s">
        <v>95</v>
      </c>
      <c r="C25" s="7" t="s">
        <v>96</v>
      </c>
      <c r="D25" s="7" t="s">
        <v>21</v>
      </c>
      <c r="E25" s="7" t="s">
        <v>15</v>
      </c>
      <c r="F25" s="7" t="s">
        <v>35</v>
      </c>
      <c r="G25" s="7" t="s">
        <v>97</v>
      </c>
      <c r="H25" s="7">
        <v>2</v>
      </c>
      <c r="I25" s="7">
        <v>350</v>
      </c>
      <c r="J25" s="7">
        <v>700</v>
      </c>
      <c r="K25" s="7">
        <v>800</v>
      </c>
      <c r="L25" s="7" t="s">
        <v>18</v>
      </c>
      <c r="N25" s="5">
        <f t="shared" si="0"/>
        <v>700</v>
      </c>
      <c r="O25" s="5">
        <f t="shared" si="1"/>
        <v>900</v>
      </c>
    </row>
    <row r="26" spans="1:15" x14ac:dyDescent="0.35">
      <c r="A26" s="6">
        <v>45683</v>
      </c>
      <c r="B26" s="7" t="s">
        <v>98</v>
      </c>
      <c r="C26" s="7" t="s">
        <v>99</v>
      </c>
      <c r="D26" s="7" t="s">
        <v>27</v>
      </c>
      <c r="E26" s="7" t="s">
        <v>22</v>
      </c>
      <c r="F26" s="7" t="s">
        <v>39</v>
      </c>
      <c r="G26" s="7" t="s">
        <v>100</v>
      </c>
      <c r="H26" s="7">
        <v>1</v>
      </c>
      <c r="I26" s="7">
        <v>900</v>
      </c>
      <c r="J26" s="7">
        <v>900</v>
      </c>
      <c r="K26" s="7">
        <v>950</v>
      </c>
      <c r="L26" s="7" t="s">
        <v>18</v>
      </c>
      <c r="N26" s="5">
        <f t="shared" si="0"/>
        <v>900</v>
      </c>
      <c r="O26" s="5">
        <f t="shared" si="1"/>
        <v>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K1" sqref="K1"/>
    </sheetView>
  </sheetViews>
  <sheetFormatPr defaultRowHeight="15.5" x14ac:dyDescent="0.35"/>
  <cols>
    <col min="1" max="1" width="11.6328125" style="5" bestFit="1" customWidth="1"/>
    <col min="2" max="2" width="9.6328125" style="5" bestFit="1" customWidth="1"/>
    <col min="3" max="3" width="15.90625" style="5" bestFit="1" customWidth="1"/>
    <col min="4" max="4" width="6.81640625" style="5" customWidth="1"/>
    <col min="5" max="5" width="13.1796875" style="5" bestFit="1" customWidth="1"/>
    <col min="6" max="6" width="13.81640625" style="5" bestFit="1" customWidth="1"/>
    <col min="7" max="7" width="15.453125" style="5" bestFit="1" customWidth="1"/>
    <col min="8" max="8" width="9.1796875" style="5" bestFit="1" customWidth="1"/>
    <col min="9" max="9" width="10.453125" style="5" bestFit="1" customWidth="1"/>
    <col min="10" max="10" width="5.54296875" style="5" bestFit="1" customWidth="1"/>
    <col min="11" max="11" width="7.08984375" style="5" bestFit="1" customWidth="1"/>
    <col min="12" max="12" width="13.08984375" style="5" bestFit="1" customWidth="1"/>
    <col min="13" max="13" width="8.7265625" style="5"/>
    <col min="14" max="14" width="8.81640625" style="5" bestFit="1" customWidth="1"/>
    <col min="15" max="15" width="13.90625" style="5" bestFit="1" customWidth="1"/>
    <col min="16" max="16384" width="8.7265625" style="5"/>
  </cols>
  <sheetData>
    <row r="1" spans="1: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N1" s="4" t="s">
        <v>111</v>
      </c>
      <c r="O1" s="4" t="s">
        <v>112</v>
      </c>
    </row>
    <row r="2" spans="1:15" x14ac:dyDescent="0.35">
      <c r="A2" s="6">
        <v>45659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>
        <v>2</v>
      </c>
      <c r="I2" s="7">
        <v>120</v>
      </c>
      <c r="J2" s="7">
        <v>240</v>
      </c>
      <c r="K2" s="7">
        <v>300</v>
      </c>
      <c r="L2" s="7" t="s">
        <v>18</v>
      </c>
      <c r="N2" s="5">
        <f>LEN(C2:C26)</f>
        <v>9</v>
      </c>
      <c r="O2" s="5" t="str">
        <f>TRIM(C2)</f>
        <v>Alice Kim</v>
      </c>
    </row>
    <row r="3" spans="1:15" x14ac:dyDescent="0.35">
      <c r="A3" s="6">
        <v>45660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3</v>
      </c>
      <c r="I3" s="7">
        <v>220</v>
      </c>
      <c r="J3" s="7">
        <v>660</v>
      </c>
      <c r="K3" s="7">
        <v>700</v>
      </c>
      <c r="L3" s="7" t="s">
        <v>18</v>
      </c>
      <c r="N3" s="5">
        <f t="shared" ref="N3:N26" si="0">LEN(C3:C27)</f>
        <v>12</v>
      </c>
      <c r="O3" s="5" t="str">
        <f t="shared" ref="O3:O26" si="1">TRIM(C3)</f>
        <v>Brian Otieno</v>
      </c>
    </row>
    <row r="4" spans="1:15" x14ac:dyDescent="0.35">
      <c r="A4" s="6">
        <v>45661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5</v>
      </c>
      <c r="I4" s="7">
        <v>25</v>
      </c>
      <c r="J4" s="7">
        <v>125</v>
      </c>
      <c r="K4" s="7">
        <v>200</v>
      </c>
      <c r="L4" s="7" t="s">
        <v>31</v>
      </c>
      <c r="N4" s="5">
        <f t="shared" si="0"/>
        <v>12</v>
      </c>
      <c r="O4" s="5" t="str">
        <f t="shared" si="1"/>
        <v>Carol Wambui</v>
      </c>
    </row>
    <row r="5" spans="1:15" x14ac:dyDescent="0.35">
      <c r="A5" s="6">
        <v>45662</v>
      </c>
      <c r="B5" s="7" t="s">
        <v>32</v>
      </c>
      <c r="C5" s="7" t="s">
        <v>33</v>
      </c>
      <c r="D5" s="7" t="s">
        <v>34</v>
      </c>
      <c r="E5" s="7" t="s">
        <v>15</v>
      </c>
      <c r="F5" s="7" t="s">
        <v>35</v>
      </c>
      <c r="G5" s="7" t="s">
        <v>36</v>
      </c>
      <c r="H5" s="7">
        <v>1</v>
      </c>
      <c r="I5" s="7">
        <v>450</v>
      </c>
      <c r="J5" s="7">
        <v>450</v>
      </c>
      <c r="K5" s="7">
        <v>500</v>
      </c>
      <c r="L5" s="7" t="s">
        <v>18</v>
      </c>
      <c r="N5" s="5">
        <f t="shared" si="0"/>
        <v>12</v>
      </c>
      <c r="O5" s="5" t="str">
        <f t="shared" si="1"/>
        <v>David Mwangi</v>
      </c>
    </row>
    <row r="6" spans="1:15" x14ac:dyDescent="0.35">
      <c r="A6" s="6">
        <v>45663</v>
      </c>
      <c r="B6" s="7" t="s">
        <v>37</v>
      </c>
      <c r="C6" s="7" t="s">
        <v>38</v>
      </c>
      <c r="D6" s="7" t="s">
        <v>14</v>
      </c>
      <c r="E6" s="7" t="s">
        <v>22</v>
      </c>
      <c r="F6" s="7" t="s">
        <v>39</v>
      </c>
      <c r="G6" s="7" t="s">
        <v>40</v>
      </c>
      <c r="H6" s="7">
        <v>2</v>
      </c>
      <c r="I6" s="7">
        <v>650</v>
      </c>
      <c r="J6" s="7">
        <v>1300</v>
      </c>
      <c r="K6" s="7">
        <v>1400</v>
      </c>
      <c r="L6" s="7" t="s">
        <v>18</v>
      </c>
      <c r="N6" s="5">
        <f t="shared" si="0"/>
        <v>14</v>
      </c>
      <c r="O6" s="5" t="str">
        <f t="shared" si="1"/>
        <v>Esther Achieng</v>
      </c>
    </row>
    <row r="7" spans="1:15" x14ac:dyDescent="0.35">
      <c r="A7" s="6">
        <v>45664</v>
      </c>
      <c r="B7" s="7" t="s">
        <v>41</v>
      </c>
      <c r="C7" s="7" t="s">
        <v>113</v>
      </c>
      <c r="D7" s="7" t="s">
        <v>21</v>
      </c>
      <c r="E7" s="7" t="s">
        <v>15</v>
      </c>
      <c r="F7" s="7" t="s">
        <v>16</v>
      </c>
      <c r="G7" s="7" t="s">
        <v>17</v>
      </c>
      <c r="H7" s="7">
        <v>3</v>
      </c>
      <c r="I7" s="7">
        <v>115</v>
      </c>
      <c r="J7" s="7">
        <v>345</v>
      </c>
      <c r="K7" s="7">
        <v>350</v>
      </c>
      <c r="L7" s="7" t="s">
        <v>18</v>
      </c>
      <c r="N7" s="5">
        <f t="shared" si="0"/>
        <v>16</v>
      </c>
      <c r="O7" s="5" t="str">
        <f t="shared" si="1"/>
        <v>Felix Kariuki</v>
      </c>
    </row>
    <row r="8" spans="1:15" x14ac:dyDescent="0.35">
      <c r="A8" s="6">
        <v>45665</v>
      </c>
      <c r="B8" s="7" t="s">
        <v>43</v>
      </c>
      <c r="C8" s="7" t="s">
        <v>44</v>
      </c>
      <c r="D8" s="7" t="s">
        <v>27</v>
      </c>
      <c r="E8" s="7" t="s">
        <v>28</v>
      </c>
      <c r="F8" s="7" t="s">
        <v>45</v>
      </c>
      <c r="G8" s="7" t="s">
        <v>46</v>
      </c>
      <c r="H8" s="7">
        <v>8</v>
      </c>
      <c r="I8" s="7">
        <v>15</v>
      </c>
      <c r="J8" s="7">
        <v>120</v>
      </c>
      <c r="K8" s="7">
        <v>150</v>
      </c>
      <c r="L8" s="7" t="s">
        <v>18</v>
      </c>
      <c r="N8" s="5">
        <f t="shared" si="0"/>
        <v>11</v>
      </c>
      <c r="O8" s="5" t="str">
        <f t="shared" si="1"/>
        <v>Grace Mutua</v>
      </c>
    </row>
    <row r="9" spans="1:15" x14ac:dyDescent="0.35">
      <c r="A9" s="6">
        <v>45666</v>
      </c>
      <c r="B9" s="7" t="s">
        <v>47</v>
      </c>
      <c r="C9" s="7" t="s">
        <v>48</v>
      </c>
      <c r="D9" s="7" t="s">
        <v>14</v>
      </c>
      <c r="E9" s="7" t="s">
        <v>15</v>
      </c>
      <c r="F9" s="7" t="s">
        <v>49</v>
      </c>
      <c r="G9" s="7" t="s">
        <v>50</v>
      </c>
      <c r="H9" s="7"/>
      <c r="I9" s="7">
        <v>300</v>
      </c>
      <c r="J9" s="7"/>
      <c r="K9" s="7">
        <v>600</v>
      </c>
      <c r="L9" s="7" t="s">
        <v>31</v>
      </c>
      <c r="N9" s="5">
        <f t="shared" si="0"/>
        <v>12</v>
      </c>
      <c r="O9" s="5" t="str">
        <f t="shared" si="1"/>
        <v>Henry Mworia</v>
      </c>
    </row>
    <row r="10" spans="1:15" x14ac:dyDescent="0.35">
      <c r="A10" s="6">
        <v>45667</v>
      </c>
      <c r="B10" s="7" t="s">
        <v>51</v>
      </c>
      <c r="C10" s="7" t="s">
        <v>114</v>
      </c>
      <c r="D10" s="7" t="s">
        <v>34</v>
      </c>
      <c r="E10" s="7" t="s">
        <v>22</v>
      </c>
      <c r="F10" s="7" t="s">
        <v>53</v>
      </c>
      <c r="G10" s="7" t="s">
        <v>54</v>
      </c>
      <c r="H10" s="7">
        <v>10</v>
      </c>
      <c r="I10" s="7">
        <v>10</v>
      </c>
      <c r="J10" s="7">
        <v>100</v>
      </c>
      <c r="K10" s="7">
        <v>150</v>
      </c>
      <c r="L10" s="7" t="s">
        <v>18</v>
      </c>
      <c r="N10" s="5">
        <f t="shared" si="0"/>
        <v>13</v>
      </c>
      <c r="O10" s="5" t="str">
        <f t="shared" si="1"/>
        <v>Irene Njeri</v>
      </c>
    </row>
    <row r="11" spans="1:15" x14ac:dyDescent="0.35">
      <c r="A11" s="6">
        <v>45668</v>
      </c>
      <c r="B11" s="7" t="s">
        <v>55</v>
      </c>
      <c r="C11" s="7" t="s">
        <v>56</v>
      </c>
      <c r="D11" s="7" t="s">
        <v>21</v>
      </c>
      <c r="E11" s="7" t="s">
        <v>28</v>
      </c>
      <c r="F11" s="7" t="s">
        <v>29</v>
      </c>
      <c r="G11" s="7" t="s">
        <v>30</v>
      </c>
      <c r="H11" s="7"/>
      <c r="I11" s="7">
        <v>25</v>
      </c>
      <c r="J11" s="7"/>
      <c r="K11" s="7">
        <v>200</v>
      </c>
      <c r="L11" s="7" t="s">
        <v>31</v>
      </c>
      <c r="N11" s="5">
        <f t="shared" si="0"/>
        <v>14</v>
      </c>
      <c r="O11" s="5" t="str">
        <f t="shared" si="1"/>
        <v>James Kipkoech</v>
      </c>
    </row>
    <row r="12" spans="1:15" x14ac:dyDescent="0.35">
      <c r="A12" s="6">
        <v>45669</v>
      </c>
      <c r="B12" s="7" t="s">
        <v>57</v>
      </c>
      <c r="C12" s="7" t="s">
        <v>58</v>
      </c>
      <c r="D12" s="7" t="s">
        <v>27</v>
      </c>
      <c r="E12" s="7" t="s">
        <v>15</v>
      </c>
      <c r="F12" s="7" t="s">
        <v>35</v>
      </c>
      <c r="G12" s="7" t="s">
        <v>59</v>
      </c>
      <c r="H12" s="7">
        <v>2</v>
      </c>
      <c r="I12" s="7">
        <v>400</v>
      </c>
      <c r="J12" s="7">
        <v>800</v>
      </c>
      <c r="K12" s="7">
        <v>750</v>
      </c>
      <c r="L12" s="7" t="s">
        <v>18</v>
      </c>
      <c r="N12" s="5">
        <f t="shared" si="0"/>
        <v>10</v>
      </c>
      <c r="O12" s="5" t="str">
        <f t="shared" si="1"/>
        <v>Karen Aoko</v>
      </c>
    </row>
    <row r="13" spans="1:15" x14ac:dyDescent="0.35">
      <c r="A13" s="6">
        <v>45670</v>
      </c>
      <c r="B13" s="7" t="s">
        <v>60</v>
      </c>
      <c r="C13" s="7" t="s">
        <v>61</v>
      </c>
      <c r="D13" s="7" t="s">
        <v>14</v>
      </c>
      <c r="E13" s="7" t="s">
        <v>22</v>
      </c>
      <c r="F13" s="7" t="s">
        <v>39</v>
      </c>
      <c r="G13" s="7" t="s">
        <v>40</v>
      </c>
      <c r="H13" s="7"/>
      <c r="I13" s="7">
        <v>650</v>
      </c>
      <c r="J13" s="7"/>
      <c r="K13" s="7">
        <v>1400</v>
      </c>
      <c r="L13" s="7" t="s">
        <v>31</v>
      </c>
      <c r="N13" s="5">
        <f t="shared" si="0"/>
        <v>12</v>
      </c>
      <c r="O13" s="5" t="str">
        <f t="shared" si="1"/>
        <v>Leon Ong’era</v>
      </c>
    </row>
    <row r="14" spans="1:15" x14ac:dyDescent="0.35">
      <c r="A14" s="6">
        <v>45671</v>
      </c>
      <c r="B14" s="7" t="s">
        <v>62</v>
      </c>
      <c r="C14" s="7" t="s">
        <v>63</v>
      </c>
      <c r="D14" s="7" t="s">
        <v>34</v>
      </c>
      <c r="E14" s="7" t="s">
        <v>15</v>
      </c>
      <c r="F14" s="7" t="s">
        <v>16</v>
      </c>
      <c r="G14" s="7" t="s">
        <v>64</v>
      </c>
      <c r="H14" s="7">
        <v>4</v>
      </c>
      <c r="I14" s="7">
        <v>200</v>
      </c>
      <c r="J14" s="7">
        <v>800</v>
      </c>
      <c r="K14" s="7">
        <v>900</v>
      </c>
      <c r="L14" s="7" t="s">
        <v>18</v>
      </c>
      <c r="N14" s="5">
        <f t="shared" si="0"/>
        <v>11</v>
      </c>
      <c r="O14" s="5" t="str">
        <f t="shared" si="1"/>
        <v>Mary Njenga</v>
      </c>
    </row>
    <row r="15" spans="1:15" x14ac:dyDescent="0.35">
      <c r="A15" s="6">
        <v>45672</v>
      </c>
      <c r="B15" s="7" t="s">
        <v>65</v>
      </c>
      <c r="C15" s="7" t="s">
        <v>66</v>
      </c>
      <c r="D15" s="7" t="s">
        <v>27</v>
      </c>
      <c r="E15" s="7" t="s">
        <v>22</v>
      </c>
      <c r="F15" s="7" t="s">
        <v>53</v>
      </c>
      <c r="G15" s="7" t="s">
        <v>67</v>
      </c>
      <c r="H15" s="7">
        <v>5</v>
      </c>
      <c r="I15" s="7">
        <v>25</v>
      </c>
      <c r="J15" s="7">
        <v>125</v>
      </c>
      <c r="K15" s="7">
        <v>150</v>
      </c>
      <c r="L15" s="7" t="s">
        <v>18</v>
      </c>
      <c r="N15" s="5">
        <f t="shared" si="0"/>
        <v>12</v>
      </c>
      <c r="O15" s="5" t="str">
        <f t="shared" si="1"/>
        <v>Nick Ochieng</v>
      </c>
    </row>
    <row r="16" spans="1:15" x14ac:dyDescent="0.35">
      <c r="A16" s="6">
        <v>45673</v>
      </c>
      <c r="B16" s="7" t="s">
        <v>68</v>
      </c>
      <c r="C16" s="7" t="s">
        <v>69</v>
      </c>
      <c r="D16" s="7" t="s">
        <v>21</v>
      </c>
      <c r="E16" s="7" t="s">
        <v>15</v>
      </c>
      <c r="F16" s="7" t="s">
        <v>35</v>
      </c>
      <c r="G16" s="7" t="s">
        <v>70</v>
      </c>
      <c r="H16" s="7">
        <v>2</v>
      </c>
      <c r="I16" s="7">
        <v>300</v>
      </c>
      <c r="J16" s="7">
        <v>600</v>
      </c>
      <c r="K16" s="7">
        <v>500</v>
      </c>
      <c r="L16" s="7" t="s">
        <v>18</v>
      </c>
      <c r="N16" s="5">
        <f t="shared" si="0"/>
        <v>13</v>
      </c>
      <c r="O16" s="5" t="str">
        <f t="shared" si="1"/>
        <v>Olivia Wekesa</v>
      </c>
    </row>
    <row r="17" spans="1:15" x14ac:dyDescent="0.35">
      <c r="A17" s="6">
        <v>45674</v>
      </c>
      <c r="B17" s="7" t="s">
        <v>71</v>
      </c>
      <c r="C17" s="7" t="s">
        <v>72</v>
      </c>
      <c r="D17" s="7" t="s">
        <v>14</v>
      </c>
      <c r="E17" s="7" t="s">
        <v>28</v>
      </c>
      <c r="F17" s="7" t="s">
        <v>29</v>
      </c>
      <c r="G17" s="7" t="s">
        <v>73</v>
      </c>
      <c r="H17" s="7"/>
      <c r="I17" s="7">
        <v>30</v>
      </c>
      <c r="J17" s="7"/>
      <c r="K17" s="7">
        <v>250</v>
      </c>
      <c r="L17" s="7" t="s">
        <v>31</v>
      </c>
      <c r="N17" s="5">
        <f t="shared" si="0"/>
        <v>11</v>
      </c>
      <c r="O17" s="5" t="str">
        <f t="shared" si="1"/>
        <v>Peter Kamau</v>
      </c>
    </row>
    <row r="18" spans="1:15" x14ac:dyDescent="0.35">
      <c r="A18" s="6">
        <v>45675</v>
      </c>
      <c r="B18" s="7" t="s">
        <v>74</v>
      </c>
      <c r="C18" s="7" t="s">
        <v>75</v>
      </c>
      <c r="D18" s="7" t="s">
        <v>34</v>
      </c>
      <c r="E18" s="7" t="s">
        <v>22</v>
      </c>
      <c r="F18" s="7" t="s">
        <v>23</v>
      </c>
      <c r="G18" s="7" t="s">
        <v>24</v>
      </c>
      <c r="H18" s="7">
        <v>1</v>
      </c>
      <c r="I18" s="7">
        <v>230</v>
      </c>
      <c r="J18" s="7">
        <v>230</v>
      </c>
      <c r="K18" s="7">
        <v>250</v>
      </c>
      <c r="L18" s="7" t="s">
        <v>18</v>
      </c>
      <c r="N18" s="5">
        <f t="shared" si="0"/>
        <v>13</v>
      </c>
      <c r="O18" s="5" t="str">
        <f t="shared" si="1"/>
        <v>Queen Naliaka</v>
      </c>
    </row>
    <row r="19" spans="1:15" x14ac:dyDescent="0.35">
      <c r="A19" s="6">
        <v>45676</v>
      </c>
      <c r="B19" s="7" t="s">
        <v>76</v>
      </c>
      <c r="C19" s="7" t="s">
        <v>77</v>
      </c>
      <c r="D19" s="7" t="s">
        <v>27</v>
      </c>
      <c r="E19" s="7" t="s">
        <v>28</v>
      </c>
      <c r="F19" s="7" t="s">
        <v>78</v>
      </c>
      <c r="G19" s="7" t="s">
        <v>79</v>
      </c>
      <c r="H19" s="7">
        <v>6</v>
      </c>
      <c r="I19" s="7">
        <v>20</v>
      </c>
      <c r="J19" s="7">
        <v>120</v>
      </c>
      <c r="K19" s="7">
        <v>150</v>
      </c>
      <c r="L19" s="7" t="s">
        <v>18</v>
      </c>
      <c r="N19" s="5">
        <f t="shared" si="0"/>
        <v>13</v>
      </c>
      <c r="O19" s="5" t="str">
        <f t="shared" si="1"/>
        <v>Robert Kimani</v>
      </c>
    </row>
    <row r="20" spans="1:15" x14ac:dyDescent="0.35">
      <c r="A20" s="6">
        <v>45677</v>
      </c>
      <c r="B20" s="7" t="s">
        <v>80</v>
      </c>
      <c r="C20" s="7" t="s">
        <v>81</v>
      </c>
      <c r="D20" s="7" t="s">
        <v>14</v>
      </c>
      <c r="E20" s="7" t="s">
        <v>15</v>
      </c>
      <c r="F20" s="7" t="s">
        <v>49</v>
      </c>
      <c r="G20" s="7" t="s">
        <v>82</v>
      </c>
      <c r="H20" s="7">
        <v>3</v>
      </c>
      <c r="I20" s="7">
        <v>320</v>
      </c>
      <c r="J20" s="7">
        <v>960</v>
      </c>
      <c r="K20" s="7">
        <v>1000</v>
      </c>
      <c r="L20" s="7" t="s">
        <v>18</v>
      </c>
      <c r="N20" s="5">
        <f t="shared" si="0"/>
        <v>11</v>
      </c>
      <c r="O20" s="5" t="str">
        <f t="shared" si="1"/>
        <v>Sarah Njoki</v>
      </c>
    </row>
    <row r="21" spans="1:15" x14ac:dyDescent="0.35">
      <c r="A21" s="6">
        <v>45678</v>
      </c>
      <c r="B21" s="7" t="s">
        <v>83</v>
      </c>
      <c r="C21" s="7" t="s">
        <v>84</v>
      </c>
      <c r="D21" s="7" t="s">
        <v>21</v>
      </c>
      <c r="E21" s="7" t="s">
        <v>22</v>
      </c>
      <c r="F21" s="7" t="s">
        <v>53</v>
      </c>
      <c r="G21" s="7" t="s">
        <v>85</v>
      </c>
      <c r="H21" s="7"/>
      <c r="I21" s="7">
        <v>35</v>
      </c>
      <c r="J21" s="7"/>
      <c r="K21" s="7">
        <v>175</v>
      </c>
      <c r="L21" s="7" t="s">
        <v>31</v>
      </c>
      <c r="N21" s="5">
        <f t="shared" si="0"/>
        <v>10</v>
      </c>
      <c r="O21" s="5" t="str">
        <f t="shared" si="1"/>
        <v>Tony Mburu</v>
      </c>
    </row>
    <row r="22" spans="1:15" x14ac:dyDescent="0.35">
      <c r="A22" s="6">
        <v>45679</v>
      </c>
      <c r="B22" s="7" t="s">
        <v>86</v>
      </c>
      <c r="C22" s="7" t="s">
        <v>87</v>
      </c>
      <c r="D22" s="7" t="s">
        <v>27</v>
      </c>
      <c r="E22" s="7" t="s">
        <v>15</v>
      </c>
      <c r="F22" s="7" t="s">
        <v>16</v>
      </c>
      <c r="G22" s="7" t="s">
        <v>88</v>
      </c>
      <c r="H22" s="7">
        <v>5</v>
      </c>
      <c r="I22" s="7">
        <v>100</v>
      </c>
      <c r="J22" s="7">
        <v>500</v>
      </c>
      <c r="K22" s="7">
        <v>600</v>
      </c>
      <c r="L22" s="7" t="s">
        <v>18</v>
      </c>
      <c r="N22" s="5">
        <f t="shared" si="0"/>
        <v>13</v>
      </c>
      <c r="O22" s="5" t="str">
        <f t="shared" si="1"/>
        <v>Ursula Waweru</v>
      </c>
    </row>
    <row r="23" spans="1:15" x14ac:dyDescent="0.35">
      <c r="A23" s="6">
        <v>45680</v>
      </c>
      <c r="B23" s="7" t="s">
        <v>89</v>
      </c>
      <c r="C23" s="7" t="s">
        <v>90</v>
      </c>
      <c r="D23" s="7" t="s">
        <v>34</v>
      </c>
      <c r="E23" s="7" t="s">
        <v>22</v>
      </c>
      <c r="F23" s="7" t="s">
        <v>23</v>
      </c>
      <c r="G23" s="7" t="s">
        <v>24</v>
      </c>
      <c r="H23" s="7">
        <v>3</v>
      </c>
      <c r="I23" s="7">
        <v>210</v>
      </c>
      <c r="J23" s="7">
        <v>630</v>
      </c>
      <c r="K23" s="7">
        <v>700</v>
      </c>
      <c r="L23" s="7" t="s">
        <v>18</v>
      </c>
      <c r="N23" s="5">
        <f t="shared" si="0"/>
        <v>11</v>
      </c>
      <c r="O23" s="5" t="str">
        <f t="shared" si="1"/>
        <v>Victor Ouma</v>
      </c>
    </row>
    <row r="24" spans="1:15" x14ac:dyDescent="0.35">
      <c r="A24" s="6">
        <v>45681</v>
      </c>
      <c r="B24" s="7" t="s">
        <v>91</v>
      </c>
      <c r="C24" s="7" t="s">
        <v>92</v>
      </c>
      <c r="D24" s="7" t="s">
        <v>14</v>
      </c>
      <c r="E24" s="7" t="s">
        <v>28</v>
      </c>
      <c r="F24" s="7" t="s">
        <v>93</v>
      </c>
      <c r="G24" s="7" t="s">
        <v>94</v>
      </c>
      <c r="H24" s="7"/>
      <c r="I24" s="7">
        <v>45</v>
      </c>
      <c r="J24" s="7"/>
      <c r="K24" s="7">
        <v>250</v>
      </c>
      <c r="L24" s="7" t="s">
        <v>31</v>
      </c>
      <c r="N24" s="5">
        <f t="shared" si="0"/>
        <v>13</v>
      </c>
      <c r="O24" s="5" t="str">
        <f t="shared" si="1"/>
        <v>Winnie Atieno</v>
      </c>
    </row>
    <row r="25" spans="1:15" x14ac:dyDescent="0.35">
      <c r="A25" s="6">
        <v>45682</v>
      </c>
      <c r="B25" s="7" t="s">
        <v>95</v>
      </c>
      <c r="C25" s="7" t="s">
        <v>96</v>
      </c>
      <c r="D25" s="7" t="s">
        <v>21</v>
      </c>
      <c r="E25" s="7" t="s">
        <v>15</v>
      </c>
      <c r="F25" s="7" t="s">
        <v>35</v>
      </c>
      <c r="G25" s="7" t="s">
        <v>97</v>
      </c>
      <c r="H25" s="7">
        <v>2</v>
      </c>
      <c r="I25" s="7">
        <v>350</v>
      </c>
      <c r="J25" s="7">
        <v>700</v>
      </c>
      <c r="K25" s="7">
        <v>800</v>
      </c>
      <c r="L25" s="7" t="s">
        <v>18</v>
      </c>
      <c r="N25" s="5">
        <f t="shared" si="0"/>
        <v>14</v>
      </c>
      <c r="O25" s="5" t="str">
        <f t="shared" si="1"/>
        <v>Xavier Kilonzo</v>
      </c>
    </row>
    <row r="26" spans="1:15" x14ac:dyDescent="0.35">
      <c r="A26" s="6">
        <v>45683</v>
      </c>
      <c r="B26" s="7" t="s">
        <v>98</v>
      </c>
      <c r="C26" s="7" t="s">
        <v>99</v>
      </c>
      <c r="D26" s="7" t="s">
        <v>27</v>
      </c>
      <c r="E26" s="7" t="s">
        <v>22</v>
      </c>
      <c r="F26" s="7" t="s">
        <v>39</v>
      </c>
      <c r="G26" s="7" t="s">
        <v>100</v>
      </c>
      <c r="H26" s="7">
        <v>1</v>
      </c>
      <c r="I26" s="7">
        <v>900</v>
      </c>
      <c r="J26" s="7">
        <v>900</v>
      </c>
      <c r="K26" s="7">
        <v>950</v>
      </c>
      <c r="L26" s="7" t="s">
        <v>18</v>
      </c>
      <c r="N26" s="5">
        <f t="shared" si="0"/>
        <v>13</v>
      </c>
      <c r="O26" s="5" t="str">
        <f t="shared" si="1"/>
        <v>Yvonne Otieno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N2" sqref="N2"/>
    </sheetView>
  </sheetViews>
  <sheetFormatPr defaultRowHeight="15.5" x14ac:dyDescent="0.35"/>
  <cols>
    <col min="1" max="1" width="11.6328125" style="5" bestFit="1" customWidth="1"/>
    <col min="2" max="2" width="9.6328125" style="5" bestFit="1" customWidth="1"/>
    <col min="3" max="3" width="15.90625" style="5" bestFit="1" customWidth="1"/>
    <col min="4" max="4" width="7.36328125" style="5" bestFit="1" customWidth="1"/>
    <col min="5" max="5" width="14.26953125" style="5" bestFit="1" customWidth="1"/>
    <col min="6" max="6" width="13.81640625" style="5" bestFit="1" customWidth="1"/>
    <col min="7" max="7" width="16.54296875" style="5" bestFit="1" customWidth="1"/>
    <col min="8" max="8" width="9.1796875" style="5" bestFit="1" customWidth="1"/>
    <col min="9" max="9" width="10.453125" style="5" bestFit="1" customWidth="1"/>
    <col min="10" max="10" width="5.54296875" style="5" bestFit="1" customWidth="1"/>
    <col min="11" max="11" width="7.08984375" style="5" bestFit="1" customWidth="1"/>
    <col min="12" max="12" width="13.08984375" style="5" bestFit="1" customWidth="1"/>
    <col min="13" max="13" width="22.6328125" style="5" bestFit="1" customWidth="1"/>
    <col min="14" max="16384" width="8.7265625" style="5"/>
  </cols>
  <sheetData>
    <row r="1" spans="1:1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115</v>
      </c>
    </row>
    <row r="2" spans="1:13" x14ac:dyDescent="0.35">
      <c r="A2" s="6">
        <v>45659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>
        <v>2</v>
      </c>
      <c r="I2" s="7">
        <v>120</v>
      </c>
      <c r="J2" s="7">
        <v>240</v>
      </c>
      <c r="K2" s="7">
        <v>300</v>
      </c>
      <c r="L2" s="7" t="s">
        <v>18</v>
      </c>
      <c r="M2" s="5" t="str">
        <f>IF(K2&gt;=300,"target meet,""belowtarget")</f>
        <v>target meet,"belowtarget</v>
      </c>
    </row>
    <row r="3" spans="1:13" x14ac:dyDescent="0.35">
      <c r="A3" s="6">
        <v>45660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3</v>
      </c>
      <c r="I3" s="7">
        <v>220</v>
      </c>
      <c r="J3" s="7">
        <v>660</v>
      </c>
      <c r="K3" s="7">
        <v>700</v>
      </c>
      <c r="L3" s="7" t="s">
        <v>18</v>
      </c>
      <c r="M3" s="5" t="str">
        <f t="shared" ref="M3:M26" si="0">IF(K3&gt;=300,"target meet,""belowtarget")</f>
        <v>target meet,"belowtarget</v>
      </c>
    </row>
    <row r="4" spans="1:13" x14ac:dyDescent="0.35">
      <c r="A4" s="6">
        <v>45661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5</v>
      </c>
      <c r="I4" s="7">
        <v>25</v>
      </c>
      <c r="J4" s="7">
        <v>125</v>
      </c>
      <c r="K4" s="7">
        <v>200</v>
      </c>
      <c r="L4" s="7" t="s">
        <v>31</v>
      </c>
      <c r="M4" s="5" t="b">
        <f t="shared" si="0"/>
        <v>0</v>
      </c>
    </row>
    <row r="5" spans="1:13" ht="14.5" customHeight="1" x14ac:dyDescent="0.35">
      <c r="A5" s="6">
        <v>45662</v>
      </c>
      <c r="B5" s="7" t="s">
        <v>32</v>
      </c>
      <c r="C5" s="7" t="s">
        <v>33</v>
      </c>
      <c r="D5" s="7" t="s">
        <v>34</v>
      </c>
      <c r="E5" s="7" t="s">
        <v>15</v>
      </c>
      <c r="F5" s="7" t="s">
        <v>35</v>
      </c>
      <c r="G5" s="7" t="s">
        <v>36</v>
      </c>
      <c r="H5" s="7">
        <v>1</v>
      </c>
      <c r="I5" s="7">
        <v>450</v>
      </c>
      <c r="J5" s="7">
        <v>450</v>
      </c>
      <c r="K5" s="7">
        <v>500</v>
      </c>
      <c r="L5" s="7" t="s">
        <v>18</v>
      </c>
      <c r="M5" s="5" t="str">
        <f t="shared" si="0"/>
        <v>target meet,"belowtarget</v>
      </c>
    </row>
    <row r="6" spans="1:13" x14ac:dyDescent="0.35">
      <c r="A6" s="6">
        <v>45663</v>
      </c>
      <c r="B6" s="7" t="s">
        <v>37</v>
      </c>
      <c r="C6" s="7" t="s">
        <v>38</v>
      </c>
      <c r="D6" s="7" t="s">
        <v>14</v>
      </c>
      <c r="E6" s="7" t="s">
        <v>22</v>
      </c>
      <c r="F6" s="7" t="s">
        <v>39</v>
      </c>
      <c r="G6" s="7" t="s">
        <v>40</v>
      </c>
      <c r="H6" s="7">
        <v>2</v>
      </c>
      <c r="I6" s="7">
        <v>650</v>
      </c>
      <c r="J6" s="7">
        <v>1300</v>
      </c>
      <c r="K6" s="7">
        <v>1400</v>
      </c>
      <c r="L6" s="7" t="s">
        <v>18</v>
      </c>
      <c r="M6" s="5" t="str">
        <f t="shared" si="0"/>
        <v>target meet,"belowtarget</v>
      </c>
    </row>
    <row r="7" spans="1:13" x14ac:dyDescent="0.35">
      <c r="A7" s="6">
        <v>45664</v>
      </c>
      <c r="B7" s="7" t="s">
        <v>41</v>
      </c>
      <c r="C7" s="7" t="s">
        <v>42</v>
      </c>
      <c r="D7" s="7" t="s">
        <v>21</v>
      </c>
      <c r="E7" s="7" t="s">
        <v>15</v>
      </c>
      <c r="F7" s="7" t="s">
        <v>16</v>
      </c>
      <c r="G7" s="7" t="s">
        <v>17</v>
      </c>
      <c r="H7" s="7">
        <v>3</v>
      </c>
      <c r="I7" s="7">
        <v>115</v>
      </c>
      <c r="J7" s="7">
        <v>345</v>
      </c>
      <c r="K7" s="7">
        <v>350</v>
      </c>
      <c r="L7" s="7" t="s">
        <v>18</v>
      </c>
      <c r="M7" s="5" t="str">
        <f t="shared" si="0"/>
        <v>target meet,"belowtarget</v>
      </c>
    </row>
    <row r="8" spans="1:13" x14ac:dyDescent="0.35">
      <c r="A8" s="6">
        <v>45665</v>
      </c>
      <c r="B8" s="7" t="s">
        <v>43</v>
      </c>
      <c r="C8" s="7" t="s">
        <v>44</v>
      </c>
      <c r="D8" s="7" t="s">
        <v>27</v>
      </c>
      <c r="E8" s="7" t="s">
        <v>28</v>
      </c>
      <c r="F8" s="7" t="s">
        <v>45</v>
      </c>
      <c r="G8" s="7" t="s">
        <v>46</v>
      </c>
      <c r="H8" s="7">
        <v>8</v>
      </c>
      <c r="I8" s="7">
        <v>15</v>
      </c>
      <c r="J8" s="7">
        <v>120</v>
      </c>
      <c r="K8" s="7">
        <v>150</v>
      </c>
      <c r="L8" s="7" t="s">
        <v>18</v>
      </c>
      <c r="M8" s="5" t="b">
        <f t="shared" si="0"/>
        <v>0</v>
      </c>
    </row>
    <row r="9" spans="1:13" x14ac:dyDescent="0.35">
      <c r="A9" s="6">
        <v>45666</v>
      </c>
      <c r="B9" s="7" t="s">
        <v>47</v>
      </c>
      <c r="C9" s="7" t="s">
        <v>48</v>
      </c>
      <c r="D9" s="7" t="s">
        <v>14</v>
      </c>
      <c r="E9" s="7" t="s">
        <v>15</v>
      </c>
      <c r="F9" s="7" t="s">
        <v>49</v>
      </c>
      <c r="G9" s="7" t="s">
        <v>50</v>
      </c>
      <c r="H9" s="7"/>
      <c r="I9" s="7">
        <v>300</v>
      </c>
      <c r="J9" s="7"/>
      <c r="K9" s="7">
        <v>600</v>
      </c>
      <c r="L9" s="7" t="s">
        <v>31</v>
      </c>
      <c r="M9" s="5" t="str">
        <f t="shared" si="0"/>
        <v>target meet,"belowtarget</v>
      </c>
    </row>
    <row r="10" spans="1:13" x14ac:dyDescent="0.35">
      <c r="A10" s="6">
        <v>45667</v>
      </c>
      <c r="B10" s="7" t="s">
        <v>51</v>
      </c>
      <c r="C10" s="7" t="s">
        <v>52</v>
      </c>
      <c r="D10" s="7" t="s">
        <v>34</v>
      </c>
      <c r="E10" s="7" t="s">
        <v>22</v>
      </c>
      <c r="F10" s="7" t="s">
        <v>53</v>
      </c>
      <c r="G10" s="7" t="s">
        <v>54</v>
      </c>
      <c r="H10" s="7">
        <v>10</v>
      </c>
      <c r="I10" s="7">
        <v>10</v>
      </c>
      <c r="J10" s="7">
        <v>100</v>
      </c>
      <c r="K10" s="7">
        <v>150</v>
      </c>
      <c r="L10" s="7" t="s">
        <v>18</v>
      </c>
      <c r="M10" s="5" t="b">
        <f t="shared" si="0"/>
        <v>0</v>
      </c>
    </row>
    <row r="11" spans="1:13" x14ac:dyDescent="0.35">
      <c r="A11" s="6">
        <v>45668</v>
      </c>
      <c r="B11" s="7" t="s">
        <v>55</v>
      </c>
      <c r="C11" s="7" t="s">
        <v>56</v>
      </c>
      <c r="D11" s="7" t="s">
        <v>21</v>
      </c>
      <c r="E11" s="7" t="s">
        <v>28</v>
      </c>
      <c r="F11" s="7" t="s">
        <v>29</v>
      </c>
      <c r="G11" s="7" t="s">
        <v>30</v>
      </c>
      <c r="H11" s="7"/>
      <c r="I11" s="7">
        <v>25</v>
      </c>
      <c r="J11" s="7"/>
      <c r="K11" s="7">
        <v>200</v>
      </c>
      <c r="L11" s="7" t="s">
        <v>31</v>
      </c>
      <c r="M11" s="5" t="b">
        <f t="shared" si="0"/>
        <v>0</v>
      </c>
    </row>
    <row r="12" spans="1:13" x14ac:dyDescent="0.35">
      <c r="A12" s="6">
        <v>45669</v>
      </c>
      <c r="B12" s="7" t="s">
        <v>57</v>
      </c>
      <c r="C12" s="7" t="s">
        <v>58</v>
      </c>
      <c r="D12" s="7" t="s">
        <v>27</v>
      </c>
      <c r="E12" s="7" t="s">
        <v>15</v>
      </c>
      <c r="F12" s="7" t="s">
        <v>35</v>
      </c>
      <c r="G12" s="7" t="s">
        <v>59</v>
      </c>
      <c r="H12" s="7">
        <v>2</v>
      </c>
      <c r="I12" s="7">
        <v>400</v>
      </c>
      <c r="J12" s="7">
        <v>800</v>
      </c>
      <c r="K12" s="7">
        <v>750</v>
      </c>
      <c r="L12" s="7" t="s">
        <v>18</v>
      </c>
      <c r="M12" s="5" t="str">
        <f t="shared" si="0"/>
        <v>target meet,"belowtarget</v>
      </c>
    </row>
    <row r="13" spans="1:13" x14ac:dyDescent="0.35">
      <c r="A13" s="6">
        <v>45670</v>
      </c>
      <c r="B13" s="7" t="s">
        <v>60</v>
      </c>
      <c r="C13" s="7" t="s">
        <v>61</v>
      </c>
      <c r="D13" s="7" t="s">
        <v>14</v>
      </c>
      <c r="E13" s="7" t="s">
        <v>22</v>
      </c>
      <c r="F13" s="7" t="s">
        <v>39</v>
      </c>
      <c r="G13" s="7" t="s">
        <v>40</v>
      </c>
      <c r="H13" s="7"/>
      <c r="I13" s="7">
        <v>650</v>
      </c>
      <c r="J13" s="7"/>
      <c r="K13" s="7">
        <v>1400</v>
      </c>
      <c r="L13" s="7" t="s">
        <v>31</v>
      </c>
      <c r="M13" s="5" t="str">
        <f t="shared" si="0"/>
        <v>target meet,"belowtarget</v>
      </c>
    </row>
    <row r="14" spans="1:13" x14ac:dyDescent="0.35">
      <c r="A14" s="6">
        <v>45671</v>
      </c>
      <c r="B14" s="7" t="s">
        <v>62</v>
      </c>
      <c r="C14" s="7" t="s">
        <v>63</v>
      </c>
      <c r="D14" s="7" t="s">
        <v>34</v>
      </c>
      <c r="E14" s="7" t="s">
        <v>15</v>
      </c>
      <c r="F14" s="7" t="s">
        <v>16</v>
      </c>
      <c r="G14" s="7" t="s">
        <v>64</v>
      </c>
      <c r="H14" s="7">
        <v>4</v>
      </c>
      <c r="I14" s="7">
        <v>200</v>
      </c>
      <c r="J14" s="7">
        <v>800</v>
      </c>
      <c r="K14" s="7">
        <v>900</v>
      </c>
      <c r="L14" s="7" t="s">
        <v>18</v>
      </c>
      <c r="M14" s="5" t="str">
        <f t="shared" si="0"/>
        <v>target meet,"belowtarget</v>
      </c>
    </row>
    <row r="15" spans="1:13" x14ac:dyDescent="0.35">
      <c r="A15" s="6">
        <v>45672</v>
      </c>
      <c r="B15" s="7" t="s">
        <v>65</v>
      </c>
      <c r="C15" s="7" t="s">
        <v>66</v>
      </c>
      <c r="D15" s="7" t="s">
        <v>27</v>
      </c>
      <c r="E15" s="7" t="s">
        <v>22</v>
      </c>
      <c r="F15" s="7" t="s">
        <v>53</v>
      </c>
      <c r="G15" s="7" t="s">
        <v>67</v>
      </c>
      <c r="H15" s="7">
        <v>5</v>
      </c>
      <c r="I15" s="7">
        <v>25</v>
      </c>
      <c r="J15" s="7">
        <v>125</v>
      </c>
      <c r="K15" s="7">
        <v>150</v>
      </c>
      <c r="L15" s="7" t="s">
        <v>18</v>
      </c>
      <c r="M15" s="5" t="b">
        <f t="shared" si="0"/>
        <v>0</v>
      </c>
    </row>
    <row r="16" spans="1:13" x14ac:dyDescent="0.35">
      <c r="A16" s="6">
        <v>45673</v>
      </c>
      <c r="B16" s="7" t="s">
        <v>68</v>
      </c>
      <c r="C16" s="7" t="s">
        <v>69</v>
      </c>
      <c r="D16" s="7" t="s">
        <v>21</v>
      </c>
      <c r="E16" s="7" t="s">
        <v>15</v>
      </c>
      <c r="F16" s="7" t="s">
        <v>35</v>
      </c>
      <c r="G16" s="7" t="s">
        <v>70</v>
      </c>
      <c r="H16" s="7">
        <v>2</v>
      </c>
      <c r="I16" s="7">
        <v>300</v>
      </c>
      <c r="J16" s="7">
        <v>600</v>
      </c>
      <c r="K16" s="7">
        <v>500</v>
      </c>
      <c r="L16" s="7" t="s">
        <v>18</v>
      </c>
      <c r="M16" s="5" t="str">
        <f t="shared" si="0"/>
        <v>target meet,"belowtarget</v>
      </c>
    </row>
    <row r="17" spans="1:13" x14ac:dyDescent="0.35">
      <c r="A17" s="6">
        <v>45674</v>
      </c>
      <c r="B17" s="7" t="s">
        <v>71</v>
      </c>
      <c r="C17" s="7" t="s">
        <v>72</v>
      </c>
      <c r="D17" s="7" t="s">
        <v>14</v>
      </c>
      <c r="E17" s="7" t="s">
        <v>28</v>
      </c>
      <c r="F17" s="7" t="s">
        <v>29</v>
      </c>
      <c r="G17" s="7" t="s">
        <v>73</v>
      </c>
      <c r="H17" s="7"/>
      <c r="I17" s="7">
        <v>30</v>
      </c>
      <c r="J17" s="7"/>
      <c r="K17" s="7">
        <v>250</v>
      </c>
      <c r="L17" s="7" t="s">
        <v>31</v>
      </c>
      <c r="M17" s="5" t="b">
        <f t="shared" si="0"/>
        <v>0</v>
      </c>
    </row>
    <row r="18" spans="1:13" x14ac:dyDescent="0.35">
      <c r="A18" s="6">
        <v>45675</v>
      </c>
      <c r="B18" s="7" t="s">
        <v>74</v>
      </c>
      <c r="C18" s="7" t="s">
        <v>75</v>
      </c>
      <c r="D18" s="7" t="s">
        <v>34</v>
      </c>
      <c r="E18" s="7" t="s">
        <v>22</v>
      </c>
      <c r="F18" s="7" t="s">
        <v>23</v>
      </c>
      <c r="G18" s="7" t="s">
        <v>24</v>
      </c>
      <c r="H18" s="7">
        <v>1</v>
      </c>
      <c r="I18" s="7">
        <v>230</v>
      </c>
      <c r="J18" s="7">
        <v>230</v>
      </c>
      <c r="K18" s="7">
        <v>250</v>
      </c>
      <c r="L18" s="7" t="s">
        <v>18</v>
      </c>
      <c r="M18" s="5" t="b">
        <f t="shared" si="0"/>
        <v>0</v>
      </c>
    </row>
    <row r="19" spans="1:13" x14ac:dyDescent="0.35">
      <c r="A19" s="6">
        <v>45676</v>
      </c>
      <c r="B19" s="7" t="s">
        <v>76</v>
      </c>
      <c r="C19" s="7" t="s">
        <v>77</v>
      </c>
      <c r="D19" s="7" t="s">
        <v>27</v>
      </c>
      <c r="E19" s="7" t="s">
        <v>28</v>
      </c>
      <c r="F19" s="7" t="s">
        <v>78</v>
      </c>
      <c r="G19" s="7" t="s">
        <v>79</v>
      </c>
      <c r="H19" s="7">
        <v>6</v>
      </c>
      <c r="I19" s="7">
        <v>20</v>
      </c>
      <c r="J19" s="7">
        <v>120</v>
      </c>
      <c r="K19" s="7">
        <v>150</v>
      </c>
      <c r="L19" s="7" t="s">
        <v>18</v>
      </c>
      <c r="M19" s="5" t="b">
        <f t="shared" si="0"/>
        <v>0</v>
      </c>
    </row>
    <row r="20" spans="1:13" x14ac:dyDescent="0.35">
      <c r="A20" s="6">
        <v>45677</v>
      </c>
      <c r="B20" s="7" t="s">
        <v>80</v>
      </c>
      <c r="C20" s="7" t="s">
        <v>81</v>
      </c>
      <c r="D20" s="7" t="s">
        <v>14</v>
      </c>
      <c r="E20" s="7" t="s">
        <v>15</v>
      </c>
      <c r="F20" s="7" t="s">
        <v>49</v>
      </c>
      <c r="G20" s="7" t="s">
        <v>82</v>
      </c>
      <c r="H20" s="7">
        <v>3</v>
      </c>
      <c r="I20" s="7">
        <v>320</v>
      </c>
      <c r="J20" s="7">
        <v>960</v>
      </c>
      <c r="K20" s="7">
        <v>1000</v>
      </c>
      <c r="L20" s="7" t="s">
        <v>18</v>
      </c>
      <c r="M20" s="5" t="str">
        <f t="shared" si="0"/>
        <v>target meet,"belowtarget</v>
      </c>
    </row>
    <row r="21" spans="1:13" x14ac:dyDescent="0.35">
      <c r="A21" s="6">
        <v>45678</v>
      </c>
      <c r="B21" s="7" t="s">
        <v>83</v>
      </c>
      <c r="C21" s="7" t="s">
        <v>84</v>
      </c>
      <c r="D21" s="7" t="s">
        <v>21</v>
      </c>
      <c r="E21" s="7" t="s">
        <v>22</v>
      </c>
      <c r="F21" s="7" t="s">
        <v>53</v>
      </c>
      <c r="G21" s="7" t="s">
        <v>85</v>
      </c>
      <c r="H21" s="7"/>
      <c r="I21" s="7">
        <v>35</v>
      </c>
      <c r="J21" s="7"/>
      <c r="K21" s="7">
        <v>175</v>
      </c>
      <c r="L21" s="7" t="s">
        <v>31</v>
      </c>
      <c r="M21" s="5" t="b">
        <f t="shared" si="0"/>
        <v>0</v>
      </c>
    </row>
    <row r="22" spans="1:13" x14ac:dyDescent="0.35">
      <c r="A22" s="6">
        <v>45679</v>
      </c>
      <c r="B22" s="7" t="s">
        <v>86</v>
      </c>
      <c r="C22" s="7" t="s">
        <v>87</v>
      </c>
      <c r="D22" s="7" t="s">
        <v>27</v>
      </c>
      <c r="E22" s="7" t="s">
        <v>15</v>
      </c>
      <c r="F22" s="7" t="s">
        <v>16</v>
      </c>
      <c r="G22" s="7" t="s">
        <v>88</v>
      </c>
      <c r="H22" s="7">
        <v>5</v>
      </c>
      <c r="I22" s="7">
        <v>100</v>
      </c>
      <c r="J22" s="7">
        <v>500</v>
      </c>
      <c r="K22" s="7">
        <v>600</v>
      </c>
      <c r="L22" s="7" t="s">
        <v>18</v>
      </c>
      <c r="M22" s="5" t="str">
        <f t="shared" si="0"/>
        <v>target meet,"belowtarget</v>
      </c>
    </row>
    <row r="23" spans="1:13" x14ac:dyDescent="0.35">
      <c r="A23" s="6">
        <v>45680</v>
      </c>
      <c r="B23" s="7" t="s">
        <v>89</v>
      </c>
      <c r="C23" s="7" t="s">
        <v>90</v>
      </c>
      <c r="D23" s="7" t="s">
        <v>34</v>
      </c>
      <c r="E23" s="7" t="s">
        <v>22</v>
      </c>
      <c r="F23" s="7" t="s">
        <v>23</v>
      </c>
      <c r="G23" s="7" t="s">
        <v>24</v>
      </c>
      <c r="H23" s="7">
        <v>3</v>
      </c>
      <c r="I23" s="7">
        <v>210</v>
      </c>
      <c r="J23" s="7">
        <v>630</v>
      </c>
      <c r="K23" s="7">
        <v>700</v>
      </c>
      <c r="L23" s="7" t="s">
        <v>18</v>
      </c>
      <c r="M23" s="5" t="str">
        <f t="shared" si="0"/>
        <v>target meet,"belowtarget</v>
      </c>
    </row>
    <row r="24" spans="1:13" x14ac:dyDescent="0.35">
      <c r="A24" s="6">
        <v>45681</v>
      </c>
      <c r="B24" s="7" t="s">
        <v>91</v>
      </c>
      <c r="C24" s="7" t="s">
        <v>92</v>
      </c>
      <c r="D24" s="7" t="s">
        <v>14</v>
      </c>
      <c r="E24" s="7" t="s">
        <v>28</v>
      </c>
      <c r="F24" s="7" t="s">
        <v>93</v>
      </c>
      <c r="G24" s="7" t="s">
        <v>94</v>
      </c>
      <c r="H24" s="7"/>
      <c r="I24" s="7">
        <v>45</v>
      </c>
      <c r="J24" s="7"/>
      <c r="K24" s="7">
        <v>250</v>
      </c>
      <c r="L24" s="7" t="s">
        <v>31</v>
      </c>
      <c r="M24" s="5" t="b">
        <f t="shared" si="0"/>
        <v>0</v>
      </c>
    </row>
    <row r="25" spans="1:13" x14ac:dyDescent="0.35">
      <c r="A25" s="6">
        <v>45682</v>
      </c>
      <c r="B25" s="7" t="s">
        <v>95</v>
      </c>
      <c r="C25" s="7" t="s">
        <v>96</v>
      </c>
      <c r="D25" s="7" t="s">
        <v>21</v>
      </c>
      <c r="E25" s="7" t="s">
        <v>15</v>
      </c>
      <c r="F25" s="7" t="s">
        <v>35</v>
      </c>
      <c r="G25" s="7" t="s">
        <v>97</v>
      </c>
      <c r="H25" s="7">
        <v>2</v>
      </c>
      <c r="I25" s="7">
        <v>350</v>
      </c>
      <c r="J25" s="7">
        <v>700</v>
      </c>
      <c r="K25" s="7">
        <v>800</v>
      </c>
      <c r="L25" s="7" t="s">
        <v>18</v>
      </c>
      <c r="M25" s="5" t="str">
        <f t="shared" si="0"/>
        <v>target meet,"belowtarget</v>
      </c>
    </row>
    <row r="26" spans="1:13" x14ac:dyDescent="0.35">
      <c r="A26" s="6">
        <v>45683</v>
      </c>
      <c r="B26" s="7" t="s">
        <v>98</v>
      </c>
      <c r="C26" s="7" t="s">
        <v>99</v>
      </c>
      <c r="D26" s="7" t="s">
        <v>27</v>
      </c>
      <c r="E26" s="7" t="s">
        <v>22</v>
      </c>
      <c r="F26" s="7" t="s">
        <v>39</v>
      </c>
      <c r="G26" s="7" t="s">
        <v>100</v>
      </c>
      <c r="H26" s="7">
        <v>1</v>
      </c>
      <c r="I26" s="7">
        <v>900</v>
      </c>
      <c r="J26" s="7">
        <v>900</v>
      </c>
      <c r="K26" s="7">
        <v>950</v>
      </c>
      <c r="L26" s="7" t="s">
        <v>18</v>
      </c>
      <c r="M26" s="5" t="str">
        <f t="shared" si="0"/>
        <v>target meet,"belowtarget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F1" workbookViewId="0">
      <selection activeCell="S2" sqref="S2"/>
    </sheetView>
  </sheetViews>
  <sheetFormatPr defaultRowHeight="14.5" x14ac:dyDescent="0.35"/>
  <cols>
    <col min="1" max="1" width="10.453125" bestFit="1" customWidth="1"/>
    <col min="2" max="2" width="8.1796875" bestFit="1" customWidth="1"/>
    <col min="3" max="3" width="14.453125" bestFit="1" customWidth="1"/>
    <col min="4" max="4" width="6.453125" bestFit="1" customWidth="1"/>
    <col min="5" max="5" width="13.1796875" bestFit="1" customWidth="1"/>
    <col min="6" max="6" width="12" bestFit="1" customWidth="1"/>
    <col min="7" max="7" width="15.453125" bestFit="1" customWidth="1"/>
    <col min="8" max="8" width="8.1796875" bestFit="1" customWidth="1"/>
    <col min="9" max="9" width="8.90625" bestFit="1" customWidth="1"/>
    <col min="10" max="10" width="5" bestFit="1" customWidth="1"/>
    <col min="11" max="11" width="6.1796875" bestFit="1" customWidth="1"/>
    <col min="12" max="12" width="11.453125" bestFit="1" customWidth="1"/>
    <col min="14" max="14" width="9.1796875" bestFit="1" customWidth="1"/>
    <col min="15" max="15" width="11.90625" bestFit="1" customWidth="1"/>
    <col min="16" max="16" width="11.36328125" bestFit="1" customWidth="1"/>
    <col min="17" max="17" width="10.81640625" bestFit="1" customWidth="1"/>
    <col min="18" max="18" width="17.26953125" bestFit="1" customWidth="1"/>
    <col min="19" max="19" width="25.4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9" t="s">
        <v>116</v>
      </c>
      <c r="O1" s="1" t="s">
        <v>117</v>
      </c>
      <c r="P1" s="9" t="s">
        <v>118</v>
      </c>
      <c r="Q1" s="9" t="s">
        <v>119</v>
      </c>
      <c r="R1" s="9" t="s">
        <v>120</v>
      </c>
      <c r="S1" s="9" t="s">
        <v>121</v>
      </c>
    </row>
    <row r="2" spans="1:19" x14ac:dyDescent="0.35">
      <c r="A2" s="2">
        <v>45659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2</v>
      </c>
      <c r="I2" s="3">
        <v>120</v>
      </c>
      <c r="J2" s="3">
        <v>240</v>
      </c>
      <c r="K2" s="3">
        <v>300</v>
      </c>
      <c r="L2" s="3" t="s">
        <v>18</v>
      </c>
      <c r="N2">
        <f>SUM(J2:J26)</f>
        <v>9705</v>
      </c>
      <c r="O2">
        <f>AVERAGE(J2:J26)</f>
        <v>510.78947368421052</v>
      </c>
      <c r="P2">
        <f>MAX(J2:J26)</f>
        <v>1300</v>
      </c>
      <c r="Q2">
        <f>MIN(J2:J26)</f>
        <v>100</v>
      </c>
      <c r="R2">
        <f>COUNTBLANK(J2)</f>
        <v>0</v>
      </c>
    </row>
    <row r="3" spans="1:19" x14ac:dyDescent="0.35">
      <c r="A3" s="2">
        <v>45660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>
        <v>3</v>
      </c>
      <c r="I3" s="3">
        <v>220</v>
      </c>
      <c r="J3" s="3">
        <v>660</v>
      </c>
      <c r="K3" s="3">
        <v>700</v>
      </c>
      <c r="L3" s="3" t="s">
        <v>18</v>
      </c>
      <c r="N3">
        <f t="shared" ref="N3:N26" si="0">SUM(J3:J27)</f>
        <v>9465</v>
      </c>
      <c r="O3">
        <f t="shared" ref="O3:O26" si="1">AVERAGE(J3:J27)</f>
        <v>525.83333333333337</v>
      </c>
      <c r="P3">
        <f t="shared" ref="P3:P26" si="2">MAX(J3:J27)</f>
        <v>1300</v>
      </c>
      <c r="Q3">
        <f t="shared" ref="Q3:Q26" si="3">MIN(J3:J27)</f>
        <v>100</v>
      </c>
      <c r="R3">
        <f t="shared" ref="R3:R26" si="4">COUNTBLANK(J3)</f>
        <v>0</v>
      </c>
    </row>
    <row r="4" spans="1:19" x14ac:dyDescent="0.35">
      <c r="A4" s="2">
        <v>45661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5</v>
      </c>
      <c r="I4" s="3">
        <v>25</v>
      </c>
      <c r="J4" s="3">
        <v>125</v>
      </c>
      <c r="K4" s="3">
        <v>200</v>
      </c>
      <c r="L4" s="3" t="s">
        <v>31</v>
      </c>
      <c r="N4">
        <f t="shared" si="0"/>
        <v>8805</v>
      </c>
      <c r="O4">
        <f t="shared" si="1"/>
        <v>517.94117647058829</v>
      </c>
      <c r="P4">
        <f t="shared" si="2"/>
        <v>1300</v>
      </c>
      <c r="Q4">
        <f t="shared" si="3"/>
        <v>100</v>
      </c>
      <c r="R4">
        <f t="shared" si="4"/>
        <v>0</v>
      </c>
    </row>
    <row r="5" spans="1:19" x14ac:dyDescent="0.35">
      <c r="A5" s="2">
        <v>45662</v>
      </c>
      <c r="B5" s="3" t="s">
        <v>32</v>
      </c>
      <c r="C5" s="3" t="s">
        <v>33</v>
      </c>
      <c r="D5" s="3" t="s">
        <v>34</v>
      </c>
      <c r="E5" s="3" t="s">
        <v>15</v>
      </c>
      <c r="F5" s="3" t="s">
        <v>35</v>
      </c>
      <c r="G5" s="3" t="s">
        <v>36</v>
      </c>
      <c r="H5" s="3">
        <v>1</v>
      </c>
      <c r="I5" s="3">
        <v>450</v>
      </c>
      <c r="J5" s="3">
        <v>450</v>
      </c>
      <c r="K5" s="3">
        <v>500</v>
      </c>
      <c r="L5" s="3" t="s">
        <v>18</v>
      </c>
      <c r="N5">
        <f t="shared" si="0"/>
        <v>8680</v>
      </c>
      <c r="O5">
        <f t="shared" si="1"/>
        <v>542.5</v>
      </c>
      <c r="P5">
        <f t="shared" si="2"/>
        <v>1300</v>
      </c>
      <c r="Q5">
        <f t="shared" si="3"/>
        <v>100</v>
      </c>
      <c r="R5">
        <f t="shared" si="4"/>
        <v>0</v>
      </c>
    </row>
    <row r="6" spans="1:19" x14ac:dyDescent="0.35">
      <c r="A6" s="2">
        <v>45663</v>
      </c>
      <c r="B6" s="3" t="s">
        <v>37</v>
      </c>
      <c r="C6" s="3" t="s">
        <v>38</v>
      </c>
      <c r="D6" s="3" t="s">
        <v>14</v>
      </c>
      <c r="E6" s="3" t="s">
        <v>22</v>
      </c>
      <c r="F6" s="3" t="s">
        <v>39</v>
      </c>
      <c r="G6" s="3" t="s">
        <v>40</v>
      </c>
      <c r="H6" s="3">
        <v>2</v>
      </c>
      <c r="I6" s="3">
        <v>650</v>
      </c>
      <c r="J6" s="3">
        <v>1300</v>
      </c>
      <c r="K6" s="3">
        <v>1400</v>
      </c>
      <c r="L6" s="3" t="s">
        <v>18</v>
      </c>
      <c r="N6">
        <f t="shared" si="0"/>
        <v>8230</v>
      </c>
      <c r="O6">
        <f t="shared" si="1"/>
        <v>548.66666666666663</v>
      </c>
      <c r="P6">
        <f t="shared" si="2"/>
        <v>1300</v>
      </c>
      <c r="Q6">
        <f t="shared" si="3"/>
        <v>100</v>
      </c>
      <c r="R6">
        <f t="shared" si="4"/>
        <v>0</v>
      </c>
    </row>
    <row r="7" spans="1:19" x14ac:dyDescent="0.35">
      <c r="A7" s="2">
        <v>45664</v>
      </c>
      <c r="B7" s="3" t="s">
        <v>41</v>
      </c>
      <c r="C7" s="3" t="s">
        <v>42</v>
      </c>
      <c r="D7" s="3" t="s">
        <v>21</v>
      </c>
      <c r="E7" s="3" t="s">
        <v>15</v>
      </c>
      <c r="F7" s="3" t="s">
        <v>16</v>
      </c>
      <c r="G7" s="3" t="s">
        <v>17</v>
      </c>
      <c r="H7" s="3">
        <v>3</v>
      </c>
      <c r="I7" s="3">
        <v>115</v>
      </c>
      <c r="J7" s="3">
        <v>345</v>
      </c>
      <c r="K7" s="3">
        <v>350</v>
      </c>
      <c r="L7" s="3" t="s">
        <v>18</v>
      </c>
      <c r="N7">
        <f t="shared" si="0"/>
        <v>6930</v>
      </c>
      <c r="O7">
        <f t="shared" si="1"/>
        <v>495</v>
      </c>
      <c r="P7">
        <f t="shared" si="2"/>
        <v>960</v>
      </c>
      <c r="Q7">
        <f t="shared" si="3"/>
        <v>100</v>
      </c>
      <c r="R7">
        <f t="shared" si="4"/>
        <v>0</v>
      </c>
    </row>
    <row r="8" spans="1:19" x14ac:dyDescent="0.35">
      <c r="A8" s="2">
        <v>45665</v>
      </c>
      <c r="B8" s="3" t="s">
        <v>43</v>
      </c>
      <c r="C8" s="3" t="s">
        <v>44</v>
      </c>
      <c r="D8" s="3" t="s">
        <v>27</v>
      </c>
      <c r="E8" s="3" t="s">
        <v>28</v>
      </c>
      <c r="F8" s="3" t="s">
        <v>45</v>
      </c>
      <c r="G8" s="3" t="s">
        <v>46</v>
      </c>
      <c r="H8" s="3">
        <v>8</v>
      </c>
      <c r="I8" s="3">
        <v>15</v>
      </c>
      <c r="J8" s="3">
        <v>120</v>
      </c>
      <c r="K8" s="3">
        <v>150</v>
      </c>
      <c r="L8" s="3" t="s">
        <v>18</v>
      </c>
      <c r="N8">
        <f t="shared" si="0"/>
        <v>6585</v>
      </c>
      <c r="O8">
        <f t="shared" si="1"/>
        <v>506.53846153846155</v>
      </c>
      <c r="P8">
        <f t="shared" si="2"/>
        <v>960</v>
      </c>
      <c r="Q8">
        <f t="shared" si="3"/>
        <v>100</v>
      </c>
      <c r="R8">
        <f t="shared" si="4"/>
        <v>0</v>
      </c>
    </row>
    <row r="9" spans="1:19" x14ac:dyDescent="0.35">
      <c r="A9" s="2">
        <v>45666</v>
      </c>
      <c r="B9" s="3" t="s">
        <v>47</v>
      </c>
      <c r="C9" s="3" t="s">
        <v>48</v>
      </c>
      <c r="D9" s="3" t="s">
        <v>14</v>
      </c>
      <c r="E9" s="3" t="s">
        <v>15</v>
      </c>
      <c r="F9" s="3" t="s">
        <v>49</v>
      </c>
      <c r="G9" s="3" t="s">
        <v>50</v>
      </c>
      <c r="H9" s="3"/>
      <c r="I9" s="3">
        <v>300</v>
      </c>
      <c r="J9" s="3"/>
      <c r="K9" s="3">
        <v>600</v>
      </c>
      <c r="L9" s="3" t="s">
        <v>31</v>
      </c>
      <c r="N9">
        <f t="shared" si="0"/>
        <v>6465</v>
      </c>
      <c r="O9">
        <f t="shared" si="1"/>
        <v>538.75</v>
      </c>
      <c r="P9">
        <f t="shared" si="2"/>
        <v>960</v>
      </c>
      <c r="Q9">
        <f t="shared" si="3"/>
        <v>100</v>
      </c>
      <c r="R9">
        <f t="shared" si="4"/>
        <v>1</v>
      </c>
    </row>
    <row r="10" spans="1:19" x14ac:dyDescent="0.35">
      <c r="A10" s="2">
        <v>45667</v>
      </c>
      <c r="B10" s="3" t="s">
        <v>51</v>
      </c>
      <c r="C10" s="3" t="s">
        <v>52</v>
      </c>
      <c r="D10" s="3" t="s">
        <v>34</v>
      </c>
      <c r="E10" s="3" t="s">
        <v>22</v>
      </c>
      <c r="F10" s="3" t="s">
        <v>53</v>
      </c>
      <c r="G10" s="3" t="s">
        <v>54</v>
      </c>
      <c r="H10" s="3">
        <v>10</v>
      </c>
      <c r="I10" s="3">
        <v>10</v>
      </c>
      <c r="J10" s="3">
        <v>100</v>
      </c>
      <c r="K10" s="3">
        <v>150</v>
      </c>
      <c r="L10" s="3" t="s">
        <v>18</v>
      </c>
      <c r="N10">
        <f t="shared" si="0"/>
        <v>6465</v>
      </c>
      <c r="O10">
        <f t="shared" si="1"/>
        <v>538.75</v>
      </c>
      <c r="P10">
        <f t="shared" si="2"/>
        <v>960</v>
      </c>
      <c r="Q10">
        <f t="shared" si="3"/>
        <v>100</v>
      </c>
      <c r="R10">
        <f t="shared" si="4"/>
        <v>0</v>
      </c>
    </row>
    <row r="11" spans="1:19" x14ac:dyDescent="0.35">
      <c r="A11" s="2">
        <v>45668</v>
      </c>
      <c r="B11" s="3" t="s">
        <v>55</v>
      </c>
      <c r="C11" s="3" t="s">
        <v>56</v>
      </c>
      <c r="D11" s="3" t="s">
        <v>21</v>
      </c>
      <c r="E11" s="3" t="s">
        <v>28</v>
      </c>
      <c r="F11" s="3" t="s">
        <v>29</v>
      </c>
      <c r="G11" s="3" t="s">
        <v>30</v>
      </c>
      <c r="H11" s="3"/>
      <c r="I11" s="3">
        <v>25</v>
      </c>
      <c r="J11" s="3"/>
      <c r="K11" s="3">
        <v>200</v>
      </c>
      <c r="L11" s="3" t="s">
        <v>31</v>
      </c>
      <c r="N11">
        <f t="shared" si="0"/>
        <v>6365</v>
      </c>
      <c r="O11">
        <f t="shared" si="1"/>
        <v>578.63636363636363</v>
      </c>
      <c r="P11">
        <f t="shared" si="2"/>
        <v>960</v>
      </c>
      <c r="Q11">
        <f t="shared" si="3"/>
        <v>120</v>
      </c>
      <c r="R11">
        <f t="shared" si="4"/>
        <v>1</v>
      </c>
    </row>
    <row r="12" spans="1:19" x14ac:dyDescent="0.35">
      <c r="A12" s="2">
        <v>45669</v>
      </c>
      <c r="B12" s="3" t="s">
        <v>57</v>
      </c>
      <c r="C12" s="3" t="s">
        <v>58</v>
      </c>
      <c r="D12" s="3" t="s">
        <v>27</v>
      </c>
      <c r="E12" s="3" t="s">
        <v>15</v>
      </c>
      <c r="F12" s="3" t="s">
        <v>35</v>
      </c>
      <c r="G12" s="3" t="s">
        <v>59</v>
      </c>
      <c r="H12" s="3">
        <v>2</v>
      </c>
      <c r="I12" s="3">
        <v>400</v>
      </c>
      <c r="J12" s="3">
        <v>800</v>
      </c>
      <c r="K12" s="3">
        <v>750</v>
      </c>
      <c r="L12" s="3" t="s">
        <v>18</v>
      </c>
      <c r="N12">
        <f t="shared" si="0"/>
        <v>6365</v>
      </c>
      <c r="O12">
        <f t="shared" si="1"/>
        <v>578.63636363636363</v>
      </c>
      <c r="P12">
        <f t="shared" si="2"/>
        <v>960</v>
      </c>
      <c r="Q12">
        <f t="shared" si="3"/>
        <v>120</v>
      </c>
      <c r="R12">
        <f t="shared" si="4"/>
        <v>0</v>
      </c>
    </row>
    <row r="13" spans="1:19" x14ac:dyDescent="0.35">
      <c r="A13" s="2">
        <v>45670</v>
      </c>
      <c r="B13" s="3" t="s">
        <v>60</v>
      </c>
      <c r="C13" s="3" t="s">
        <v>61</v>
      </c>
      <c r="D13" s="3" t="s">
        <v>14</v>
      </c>
      <c r="E13" s="3" t="s">
        <v>22</v>
      </c>
      <c r="F13" s="3" t="s">
        <v>39</v>
      </c>
      <c r="G13" s="3" t="s">
        <v>40</v>
      </c>
      <c r="H13" s="3"/>
      <c r="I13" s="3">
        <v>650</v>
      </c>
      <c r="J13" s="3"/>
      <c r="K13" s="3">
        <v>1400</v>
      </c>
      <c r="L13" s="3" t="s">
        <v>31</v>
      </c>
      <c r="N13">
        <f t="shared" si="0"/>
        <v>5565</v>
      </c>
      <c r="O13">
        <f t="shared" si="1"/>
        <v>556.5</v>
      </c>
      <c r="P13">
        <f t="shared" si="2"/>
        <v>960</v>
      </c>
      <c r="Q13">
        <f t="shared" si="3"/>
        <v>120</v>
      </c>
      <c r="R13">
        <f t="shared" si="4"/>
        <v>1</v>
      </c>
    </row>
    <row r="14" spans="1:19" x14ac:dyDescent="0.35">
      <c r="A14" s="2">
        <v>45671</v>
      </c>
      <c r="B14" s="3" t="s">
        <v>62</v>
      </c>
      <c r="C14" s="3" t="s">
        <v>63</v>
      </c>
      <c r="D14" s="3" t="s">
        <v>34</v>
      </c>
      <c r="E14" s="3" t="s">
        <v>15</v>
      </c>
      <c r="F14" s="3" t="s">
        <v>16</v>
      </c>
      <c r="G14" s="3" t="s">
        <v>64</v>
      </c>
      <c r="H14" s="3">
        <v>4</v>
      </c>
      <c r="I14" s="3">
        <v>200</v>
      </c>
      <c r="J14" s="3">
        <v>800</v>
      </c>
      <c r="K14" s="3">
        <v>900</v>
      </c>
      <c r="L14" s="3" t="s">
        <v>18</v>
      </c>
      <c r="N14">
        <f t="shared" si="0"/>
        <v>5565</v>
      </c>
      <c r="O14">
        <f t="shared" si="1"/>
        <v>556.5</v>
      </c>
      <c r="P14">
        <f t="shared" si="2"/>
        <v>960</v>
      </c>
      <c r="Q14">
        <f t="shared" si="3"/>
        <v>120</v>
      </c>
      <c r="R14">
        <f t="shared" si="4"/>
        <v>0</v>
      </c>
    </row>
    <row r="15" spans="1:19" x14ac:dyDescent="0.35">
      <c r="A15" s="2">
        <v>45672</v>
      </c>
      <c r="B15" s="3" t="s">
        <v>65</v>
      </c>
      <c r="C15" s="3" t="s">
        <v>66</v>
      </c>
      <c r="D15" s="3" t="s">
        <v>27</v>
      </c>
      <c r="E15" s="3" t="s">
        <v>22</v>
      </c>
      <c r="F15" s="3" t="s">
        <v>53</v>
      </c>
      <c r="G15" s="3" t="s">
        <v>67</v>
      </c>
      <c r="H15" s="3">
        <v>5</v>
      </c>
      <c r="I15" s="3">
        <v>25</v>
      </c>
      <c r="J15" s="3">
        <v>125</v>
      </c>
      <c r="K15" s="3">
        <v>150</v>
      </c>
      <c r="L15" s="3" t="s">
        <v>18</v>
      </c>
      <c r="N15">
        <f t="shared" si="0"/>
        <v>4765</v>
      </c>
      <c r="O15">
        <f t="shared" si="1"/>
        <v>529.44444444444446</v>
      </c>
      <c r="P15">
        <f t="shared" si="2"/>
        <v>960</v>
      </c>
      <c r="Q15">
        <f t="shared" si="3"/>
        <v>120</v>
      </c>
      <c r="R15">
        <f t="shared" si="4"/>
        <v>0</v>
      </c>
    </row>
    <row r="16" spans="1:19" x14ac:dyDescent="0.35">
      <c r="A16" s="2">
        <v>45673</v>
      </c>
      <c r="B16" s="3" t="s">
        <v>68</v>
      </c>
      <c r="C16" s="3" t="s">
        <v>69</v>
      </c>
      <c r="D16" s="3" t="s">
        <v>21</v>
      </c>
      <c r="E16" s="3" t="s">
        <v>15</v>
      </c>
      <c r="F16" s="3" t="s">
        <v>35</v>
      </c>
      <c r="G16" s="3" t="s">
        <v>70</v>
      </c>
      <c r="H16" s="3">
        <v>2</v>
      </c>
      <c r="I16" s="3">
        <v>300</v>
      </c>
      <c r="J16" s="3">
        <v>600</v>
      </c>
      <c r="K16" s="3">
        <v>500</v>
      </c>
      <c r="L16" s="3" t="s">
        <v>18</v>
      </c>
      <c r="N16">
        <f t="shared" si="0"/>
        <v>4640</v>
      </c>
      <c r="O16">
        <f t="shared" si="1"/>
        <v>580</v>
      </c>
      <c r="P16">
        <f t="shared" si="2"/>
        <v>960</v>
      </c>
      <c r="Q16">
        <f t="shared" si="3"/>
        <v>120</v>
      </c>
      <c r="R16">
        <f t="shared" si="4"/>
        <v>0</v>
      </c>
    </row>
    <row r="17" spans="1:18" x14ac:dyDescent="0.35">
      <c r="A17" s="2">
        <v>45674</v>
      </c>
      <c r="B17" s="3" t="s">
        <v>71</v>
      </c>
      <c r="C17" s="3" t="s">
        <v>72</v>
      </c>
      <c r="D17" s="3" t="s">
        <v>14</v>
      </c>
      <c r="E17" s="3" t="s">
        <v>28</v>
      </c>
      <c r="F17" s="3" t="s">
        <v>29</v>
      </c>
      <c r="G17" s="3" t="s">
        <v>73</v>
      </c>
      <c r="H17" s="3"/>
      <c r="I17" s="3">
        <v>30</v>
      </c>
      <c r="J17" s="3"/>
      <c r="K17" s="3">
        <v>250</v>
      </c>
      <c r="L17" s="3" t="s">
        <v>31</v>
      </c>
      <c r="N17">
        <f t="shared" si="0"/>
        <v>4040</v>
      </c>
      <c r="O17">
        <f t="shared" si="1"/>
        <v>577.14285714285711</v>
      </c>
      <c r="P17">
        <f t="shared" si="2"/>
        <v>960</v>
      </c>
      <c r="Q17">
        <f t="shared" si="3"/>
        <v>120</v>
      </c>
      <c r="R17">
        <f t="shared" si="4"/>
        <v>1</v>
      </c>
    </row>
    <row r="18" spans="1:18" x14ac:dyDescent="0.35">
      <c r="A18" s="2">
        <v>45675</v>
      </c>
      <c r="B18" s="3" t="s">
        <v>74</v>
      </c>
      <c r="C18" s="3" t="s">
        <v>75</v>
      </c>
      <c r="D18" s="3" t="s">
        <v>34</v>
      </c>
      <c r="E18" s="3" t="s">
        <v>22</v>
      </c>
      <c r="F18" s="3" t="s">
        <v>23</v>
      </c>
      <c r="G18" s="3" t="s">
        <v>24</v>
      </c>
      <c r="H18" s="3">
        <v>1</v>
      </c>
      <c r="I18" s="3">
        <v>230</v>
      </c>
      <c r="J18" s="3">
        <v>230</v>
      </c>
      <c r="K18" s="3">
        <v>250</v>
      </c>
      <c r="L18" s="3" t="s">
        <v>18</v>
      </c>
      <c r="N18">
        <f t="shared" si="0"/>
        <v>4040</v>
      </c>
      <c r="O18">
        <f t="shared" si="1"/>
        <v>577.14285714285711</v>
      </c>
      <c r="P18">
        <f t="shared" si="2"/>
        <v>960</v>
      </c>
      <c r="Q18">
        <f t="shared" si="3"/>
        <v>120</v>
      </c>
      <c r="R18">
        <f t="shared" si="4"/>
        <v>0</v>
      </c>
    </row>
    <row r="19" spans="1:18" x14ac:dyDescent="0.35">
      <c r="A19" s="2">
        <v>45676</v>
      </c>
      <c r="B19" s="3" t="s">
        <v>76</v>
      </c>
      <c r="C19" s="3" t="s">
        <v>77</v>
      </c>
      <c r="D19" s="3" t="s">
        <v>27</v>
      </c>
      <c r="E19" s="3" t="s">
        <v>28</v>
      </c>
      <c r="F19" s="3" t="s">
        <v>78</v>
      </c>
      <c r="G19" s="3" t="s">
        <v>79</v>
      </c>
      <c r="H19" s="3">
        <v>6</v>
      </c>
      <c r="I19" s="3">
        <v>20</v>
      </c>
      <c r="J19" s="3">
        <v>120</v>
      </c>
      <c r="K19" s="3">
        <v>150</v>
      </c>
      <c r="L19" s="3" t="s">
        <v>18</v>
      </c>
      <c r="N19">
        <f t="shared" si="0"/>
        <v>3810</v>
      </c>
      <c r="O19">
        <f t="shared" si="1"/>
        <v>635</v>
      </c>
      <c r="P19">
        <f t="shared" si="2"/>
        <v>960</v>
      </c>
      <c r="Q19">
        <f t="shared" si="3"/>
        <v>120</v>
      </c>
      <c r="R19">
        <f t="shared" si="4"/>
        <v>0</v>
      </c>
    </row>
    <row r="20" spans="1:18" x14ac:dyDescent="0.35">
      <c r="A20" s="2">
        <v>45677</v>
      </c>
      <c r="B20" s="3" t="s">
        <v>80</v>
      </c>
      <c r="C20" s="3" t="s">
        <v>81</v>
      </c>
      <c r="D20" s="3" t="s">
        <v>14</v>
      </c>
      <c r="E20" s="3" t="s">
        <v>15</v>
      </c>
      <c r="F20" s="3" t="s">
        <v>49</v>
      </c>
      <c r="G20" s="3" t="s">
        <v>82</v>
      </c>
      <c r="H20" s="3">
        <v>3</v>
      </c>
      <c r="I20" s="3">
        <v>320</v>
      </c>
      <c r="J20" s="3">
        <v>960</v>
      </c>
      <c r="K20" s="3">
        <v>1000</v>
      </c>
      <c r="L20" s="3" t="s">
        <v>18</v>
      </c>
      <c r="N20">
        <f t="shared" si="0"/>
        <v>3690</v>
      </c>
      <c r="O20">
        <f t="shared" si="1"/>
        <v>738</v>
      </c>
      <c r="P20">
        <f t="shared" si="2"/>
        <v>960</v>
      </c>
      <c r="Q20">
        <f t="shared" si="3"/>
        <v>500</v>
      </c>
      <c r="R20">
        <f t="shared" si="4"/>
        <v>0</v>
      </c>
    </row>
    <row r="21" spans="1:18" x14ac:dyDescent="0.35">
      <c r="A21" s="2">
        <v>45678</v>
      </c>
      <c r="B21" s="3" t="s">
        <v>83</v>
      </c>
      <c r="C21" s="3" t="s">
        <v>84</v>
      </c>
      <c r="D21" s="3" t="s">
        <v>21</v>
      </c>
      <c r="E21" s="3" t="s">
        <v>22</v>
      </c>
      <c r="F21" s="3" t="s">
        <v>53</v>
      </c>
      <c r="G21" s="3" t="s">
        <v>85</v>
      </c>
      <c r="H21" s="3"/>
      <c r="I21" s="3">
        <v>35</v>
      </c>
      <c r="J21" s="3"/>
      <c r="K21" s="3">
        <v>175</v>
      </c>
      <c r="L21" s="3" t="s">
        <v>31</v>
      </c>
      <c r="N21">
        <f t="shared" si="0"/>
        <v>2730</v>
      </c>
      <c r="O21">
        <f t="shared" si="1"/>
        <v>682.5</v>
      </c>
      <c r="P21">
        <f t="shared" si="2"/>
        <v>900</v>
      </c>
      <c r="Q21">
        <f t="shared" si="3"/>
        <v>500</v>
      </c>
      <c r="R21">
        <f t="shared" si="4"/>
        <v>1</v>
      </c>
    </row>
    <row r="22" spans="1:18" x14ac:dyDescent="0.35">
      <c r="A22" s="2">
        <v>45679</v>
      </c>
      <c r="B22" s="3" t="s">
        <v>86</v>
      </c>
      <c r="C22" s="3" t="s">
        <v>87</v>
      </c>
      <c r="D22" s="3" t="s">
        <v>27</v>
      </c>
      <c r="E22" s="3" t="s">
        <v>15</v>
      </c>
      <c r="F22" s="3" t="s">
        <v>16</v>
      </c>
      <c r="G22" s="3" t="s">
        <v>88</v>
      </c>
      <c r="H22" s="3">
        <v>5</v>
      </c>
      <c r="I22" s="3">
        <v>100</v>
      </c>
      <c r="J22" s="3">
        <v>500</v>
      </c>
      <c r="K22" s="3">
        <v>600</v>
      </c>
      <c r="L22" s="3" t="s">
        <v>18</v>
      </c>
      <c r="N22">
        <f t="shared" si="0"/>
        <v>2730</v>
      </c>
      <c r="O22">
        <f t="shared" si="1"/>
        <v>682.5</v>
      </c>
      <c r="P22">
        <f t="shared" si="2"/>
        <v>900</v>
      </c>
      <c r="Q22">
        <f t="shared" si="3"/>
        <v>500</v>
      </c>
      <c r="R22">
        <f t="shared" si="4"/>
        <v>0</v>
      </c>
    </row>
    <row r="23" spans="1:18" x14ac:dyDescent="0.35">
      <c r="A23" s="2">
        <v>45680</v>
      </c>
      <c r="B23" s="3" t="s">
        <v>89</v>
      </c>
      <c r="C23" s="3" t="s">
        <v>90</v>
      </c>
      <c r="D23" s="3" t="s">
        <v>34</v>
      </c>
      <c r="E23" s="3" t="s">
        <v>22</v>
      </c>
      <c r="F23" s="3" t="s">
        <v>23</v>
      </c>
      <c r="G23" s="3" t="s">
        <v>24</v>
      </c>
      <c r="H23" s="3">
        <v>3</v>
      </c>
      <c r="I23" s="3">
        <v>210</v>
      </c>
      <c r="J23" s="3">
        <v>630</v>
      </c>
      <c r="K23" s="3">
        <v>700</v>
      </c>
      <c r="L23" s="3" t="s">
        <v>18</v>
      </c>
      <c r="N23">
        <f t="shared" si="0"/>
        <v>2230</v>
      </c>
      <c r="O23">
        <f t="shared" si="1"/>
        <v>743.33333333333337</v>
      </c>
      <c r="P23">
        <f t="shared" si="2"/>
        <v>900</v>
      </c>
      <c r="Q23">
        <f t="shared" si="3"/>
        <v>630</v>
      </c>
      <c r="R23">
        <f t="shared" si="4"/>
        <v>0</v>
      </c>
    </row>
    <row r="24" spans="1:18" x14ac:dyDescent="0.35">
      <c r="A24" s="2">
        <v>45681</v>
      </c>
      <c r="B24" s="3" t="s">
        <v>91</v>
      </c>
      <c r="C24" s="3" t="s">
        <v>92</v>
      </c>
      <c r="D24" s="3" t="s">
        <v>14</v>
      </c>
      <c r="E24" s="3" t="s">
        <v>28</v>
      </c>
      <c r="F24" s="3" t="s">
        <v>93</v>
      </c>
      <c r="G24" s="3" t="s">
        <v>94</v>
      </c>
      <c r="H24" s="3"/>
      <c r="I24" s="3">
        <v>45</v>
      </c>
      <c r="J24" s="3"/>
      <c r="K24" s="3">
        <v>250</v>
      </c>
      <c r="L24" s="3" t="s">
        <v>31</v>
      </c>
      <c r="N24">
        <f t="shared" si="0"/>
        <v>1600</v>
      </c>
      <c r="O24">
        <f t="shared" si="1"/>
        <v>800</v>
      </c>
      <c r="P24">
        <f t="shared" si="2"/>
        <v>900</v>
      </c>
      <c r="Q24">
        <f t="shared" si="3"/>
        <v>700</v>
      </c>
      <c r="R24">
        <f t="shared" si="4"/>
        <v>1</v>
      </c>
    </row>
    <row r="25" spans="1:18" x14ac:dyDescent="0.35">
      <c r="A25" s="2">
        <v>45682</v>
      </c>
      <c r="B25" s="3" t="s">
        <v>95</v>
      </c>
      <c r="C25" s="3" t="s">
        <v>96</v>
      </c>
      <c r="D25" s="3" t="s">
        <v>21</v>
      </c>
      <c r="E25" s="3" t="s">
        <v>15</v>
      </c>
      <c r="F25" s="3" t="s">
        <v>35</v>
      </c>
      <c r="G25" s="3" t="s">
        <v>97</v>
      </c>
      <c r="H25" s="3">
        <v>2</v>
      </c>
      <c r="I25" s="3">
        <v>350</v>
      </c>
      <c r="J25" s="3">
        <v>700</v>
      </c>
      <c r="K25" s="3">
        <v>800</v>
      </c>
      <c r="L25" s="3" t="s">
        <v>18</v>
      </c>
      <c r="N25">
        <f t="shared" si="0"/>
        <v>1600</v>
      </c>
      <c r="O25">
        <f t="shared" si="1"/>
        <v>800</v>
      </c>
      <c r="P25">
        <f t="shared" si="2"/>
        <v>900</v>
      </c>
      <c r="Q25">
        <f t="shared" si="3"/>
        <v>700</v>
      </c>
      <c r="R25">
        <f t="shared" si="4"/>
        <v>0</v>
      </c>
    </row>
    <row r="26" spans="1:18" x14ac:dyDescent="0.35">
      <c r="A26" s="2">
        <v>45683</v>
      </c>
      <c r="B26" s="3" t="s">
        <v>98</v>
      </c>
      <c r="C26" s="3" t="s">
        <v>99</v>
      </c>
      <c r="D26" s="3" t="s">
        <v>27</v>
      </c>
      <c r="E26" s="3" t="s">
        <v>22</v>
      </c>
      <c r="F26" s="3" t="s">
        <v>39</v>
      </c>
      <c r="G26" s="3" t="s">
        <v>100</v>
      </c>
      <c r="H26" s="3">
        <v>1</v>
      </c>
      <c r="I26" s="3">
        <v>900</v>
      </c>
      <c r="J26" s="3">
        <v>900</v>
      </c>
      <c r="K26" s="3">
        <v>950</v>
      </c>
      <c r="L26" s="3" t="s">
        <v>18</v>
      </c>
      <c r="N26">
        <f t="shared" si="0"/>
        <v>900</v>
      </c>
      <c r="O26">
        <f t="shared" si="1"/>
        <v>900</v>
      </c>
      <c r="P26">
        <f t="shared" si="2"/>
        <v>900</v>
      </c>
      <c r="Q26">
        <f t="shared" si="3"/>
        <v>900</v>
      </c>
      <c r="R26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SUM &amp; AVERAGE</vt:lpstr>
      <vt:lpstr>COUNT, COUNTA &amp; COUNTABLANK</vt:lpstr>
      <vt:lpstr>MIN &amp; MAX</vt:lpstr>
      <vt:lpstr>LEN &amp; TRIM</vt:lpstr>
      <vt:lpstr>IF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Mike</cp:lastModifiedBy>
  <dcterms:created xsi:type="dcterms:W3CDTF">2015-06-05T18:17:20Z</dcterms:created>
  <dcterms:modified xsi:type="dcterms:W3CDTF">2025-10-28T13:49:16Z</dcterms:modified>
</cp:coreProperties>
</file>